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 codeName="ThisWorkbook"/>
  <bookViews>
    <workbookView activeTab="0"/>
  </bookViews>
  <sheets>
    <sheet name="Settings TNFC Internal" r:id="rId3" sheetId="1" state="veryHidden"/>
    <sheet name="Issues" r:id="rId4" sheetId="2" state="veryHidden"/>
    <sheet name="868-0" r:id="rId5" sheetId="3"/>
    <sheet name="Cell Metadata TNFC Internal" r:id="rId6" sheetId="4" state="veryHidden"/>
    <sheet name="868-1" r:id="rId7" sheetId="5"/>
    <sheet name="868-2" r:id="rId8" sheetId="6"/>
    <sheet name="868-3" r:id="rId9" sheetId="7"/>
    <sheet name="868-4" r:id="rId10" sheetId="8"/>
    <sheet name="868-5" r:id="rId11" sheetId="9"/>
    <sheet name="868-6" r:id="rId12" sheetId="10"/>
    <sheet name="Dropdowns TNFC Internal" r:id="rId13" sheetId="11" state="veryHidden"/>
    <sheet name="Macro Text TNFC Internal" r:id="rId15" sheetId="12" state="veryHidden"/>
  </sheets>
  <definedNames>
    <definedName name="data_Sheet2_Table0_0" localSheetId="2">'868-0'!$E$7:$E$21</definedName>
    <definedName name="table_Sheet2_Table0_0" localSheetId="2">'868-0'!$A$2:$K$25</definedName>
    <definedName name="metadata_table_Sheet2_Table0_0" localSheetId="3">'Cell Metadata TNFC Internal'!$A$2:$J$14</definedName>
    <definedName name="_xlnm.Print_Area" localSheetId="2">'868-0'!$A$1:$F$22</definedName>
    <definedName name="data_Sheet4_Table0_0" localSheetId="4">'868-1'!$E$8:$H$11</definedName>
    <definedName name="table_Sheet4_Table0_0" localSheetId="4">'868-1'!$A$2:$K$15</definedName>
    <definedName name="metadata_table_Sheet4_Table0_0" localSheetId="3">'Cell Metadata TNFC Internal'!$A$15:$K$21</definedName>
    <definedName name="_xlnm.Print_Area" localSheetId="4">'868-1'!$A$1:$I$12</definedName>
    <definedName name="data_Sheet5_Table0_0" localSheetId="5">'868-2'!$E$10:$AO$26</definedName>
    <definedName name="table_Sheet5_Table0_0" localSheetId="5">'868-2'!$A$2:$AO$30</definedName>
    <definedName name="metadata_table_Sheet5_Table0_0" localSheetId="3">'Cell Metadata TNFC Internal'!$A$22:$N$70</definedName>
    <definedName name="_xlnm.Print_Area" localSheetId="5">'868-2'!$A$1:$AP$27</definedName>
    <definedName name="data_Sheet6_Table0_0" localSheetId="6">'868-3'!$E$9:$AJ$11</definedName>
    <definedName name="table_Sheet6_Table0_0" localSheetId="6">'868-3'!$A$2:$AJ$15</definedName>
    <definedName name="metadata_table_Sheet6_Table0_0" localSheetId="3">'Cell Metadata TNFC Internal'!$A$71:$N$105</definedName>
    <definedName name="_xlnm.Print_Area" localSheetId="6">'868-3'!$A$1:$AK$12</definedName>
    <definedName name="data_Sheet7_Table0_0" localSheetId="7">'868-4'!$E$8:$H$9</definedName>
    <definedName name="table_Sheet7_Table0_0" localSheetId="7">'868-4'!$A$2:$K$13</definedName>
    <definedName name="metadata_table_Sheet7_Table0_0" localSheetId="3">'Cell Metadata TNFC Internal'!$A$106:$N$111</definedName>
    <definedName name="_xlnm.Print_Area" localSheetId="7">'868-4'!$A$1:$I$10</definedName>
    <definedName name="data_Sheet8_Table0_0" localSheetId="8">'868-5'!$E$10:$E$67</definedName>
    <definedName name="table_Sheet8_Table0_0" localSheetId="8">'868-5'!$A$2:$K$71</definedName>
    <definedName name="metadata_table_Sheet8_Table0_0" localSheetId="3">'Cell Metadata TNFC Internal'!$A$112:$O$162</definedName>
    <definedName name="_xlnm.Print_Area" localSheetId="8">'868-5'!$A$1:$J$68</definedName>
    <definedName name="repeat_Sheet9_Table0_0_0_row" localSheetId="9">'868-6'!$C:$C '868-6'!$8:$8</definedName>
    <definedName name="data_Sheet9_Table0_0" localSheetId="9">'868-6'!$D$8:$R$8</definedName>
    <definedName name="table_Sheet9_Table0_0" localSheetId="9">'868-6'!$A$2:$R$12</definedName>
    <definedName name="metadata_table_Sheet9_Table0_0" localSheetId="3">'Cell Metadata TNFC Internal'!$A$163:$P$179</definedName>
    <definedName name="button_Sheet9_Table0_0_row" localSheetId="9">'868-6'!$B:$B '868-6'!$8:$8</definedName>
    <definedName name="_xlnm.Print_Area" localSheetId="9">'868-6'!$A$1:$S$9</definedName>
    <definedName name="dropdown_Sheet9_Table0_0" localSheetId="9">'Dropdowns TNFC Internal'!$B$2:$E$2</definedName>
    <definedName name="dropdown_Sheet9_Table0_1" localSheetId="9">'Dropdowns TNFC Internal'!$B$4:$C$4</definedName>
    <definedName name="dropdown_Sheet9_Table0_2" localSheetId="9">'Dropdowns TNFC Internal'!$B$6:$C$6</definedName>
    <definedName name="dropdown_Sheet9_Table0_3" localSheetId="9">'Dropdowns TNFC Internal'!$B$8:$C$8</definedName>
  </definedNames>
</workbook>
</file>

<file path=xl/comments2.xml><?xml version="1.0" encoding="utf-8"?>
<comments xmlns="http://schemas.openxmlformats.org/spreadsheetml/2006/main">
  <authors>
    <author/>
  </authors>
  <commentList>
    <comment ref="E1" authorId="0">
      <text>
        <t>Press Alt + Left Arrow to return to this sheet after clicking a link.</t>
      </text>
    </comment>
  </commentList>
</comments>
</file>

<file path=xl/sharedStrings.xml><?xml version="1.0" encoding="utf-8"?>
<sst xmlns="http://schemas.openxmlformats.org/spreadsheetml/2006/main" count="1149" uniqueCount="478">
  <si>
    <t>entry_point</t>
  </si>
  <si>
    <t>http://www.boi.org.il/fr/xbrl/fws/d868/d868/2024-09-30/mod/d868m.xsd</t>
  </si>
  <si>
    <t>version</t>
  </si>
  <si>
    <t>1.46.0-ci.master.185929</t>
  </si>
  <si>
    <t>date_format</t>
  </si>
  <si>
    <t>yyyy-mm-dd</t>
  </si>
  <si>
    <t>table_id</t>
  </si>
  <si>
    <t>http://www.boi.org.il/fr/xbrl/fws/d868/d868/2024-09-30/tab/868-0/868-0-rend.xml#boi_t868-0</t>
  </si>
  <si>
    <t>http://www.boi.org.il/fr/xbrl/fws/d868/d868/2024-09-30/tab/868-1/868-1-rend.xml#boi_t868-1</t>
  </si>
  <si>
    <t>http://www.boi.org.il/fr/xbrl/fws/d868/d868/2024-09-30/tab/868-2/868-2-rend.xml#boi_t868-2</t>
  </si>
  <si>
    <t>http://www.boi.org.il/fr/xbrl/fws/d868/d868/2024-09-30/tab/868-3/868-3-rend.xml#boi_t868-3</t>
  </si>
  <si>
    <t>http://www.boi.org.il/fr/xbrl/fws/d868/d868/2024-09-30/tab/868-4/868-4-rend.xml#boi_t868-4</t>
  </si>
  <si>
    <t>http://www.boi.org.il/fr/xbrl/fws/d868/d868/2024-09-30/tab/868-5/868-5-rend.xml#boi_t868-5</t>
  </si>
  <si>
    <t>http://www.boi.org.il/fr/xbrl/fws/d868/d868/2024-09-30/tab/868-6/868-6-rend.xml#boi_t868-6</t>
  </si>
  <si>
    <t>unshortened_workbook_name</t>
  </si>
  <si>
    <t>d868m</t>
  </si>
  <si>
    <t>TNFC_SHEET</t>
  </si>
  <si>
    <t>868-0-פרטי המדווח</t>
  </si>
  <si>
    <t>aspect:primary</t>
  </si>
  <si>
    <t>aspect:value</t>
  </si>
  <si>
    <t>scope</t>
  </si>
  <si>
    <t>isolated_item</t>
  </si>
  <si>
    <t>enabled</t>
  </si>
  <si>
    <t>replicate_per_block</t>
  </si>
  <si>
    <t>block_height</t>
  </si>
  <si>
    <t>block_offset</t>
  </si>
  <si>
    <t>table</t>
  </si>
  <si>
    <t>Sheet2_Table0_0</t>
  </si>
  <si>
    <t>{http://www.eurofiling.info/xbrl/ext/filing-indicators}filingIndicator</t>
  </si>
  <si>
    <t>aspect:tupleParent</t>
  </si>
  <si>
    <t>{http://www.eurofiling.info/xbrl/ext/filing-indicators}fIndicators</t>
  </si>
  <si>
    <t>868-0</t>
  </si>
  <si>
    <t>פרטי המדווח</t>
  </si>
  <si>
    <t/>
  </si>
  <si>
    <t>שם</t>
  </si>
  <si>
    <t>row</t>
  </si>
  <si>
    <t>{http://www.boi.org.il/xbrl/dict/met}si1066</t>
  </si>
  <si>
    <t>משפחה</t>
  </si>
  <si>
    <t>{http://www.boi.org.il/xbrl/dict/met}si1067</t>
  </si>
  <si>
    <t>טלפון</t>
  </si>
  <si>
    <t>{http://www.boi.org.il/xbrl/dict/met}si1068</t>
  </si>
  <si>
    <t>אימייל</t>
  </si>
  <si>
    <t>{http://www.boi.org.il/xbrl/dict/met}si1069</t>
  </si>
  <si>
    <t>טלפון נייד</t>
  </si>
  <si>
    <t>{http://www.boi.org.il/xbrl/dict/met}si1070</t>
  </si>
  <si>
    <t>מידע נוסף</t>
  </si>
  <si>
    <t>{http://www.boi.org.il/xbrl/dict/met}si1071</t>
  </si>
  <si>
    <t>ממלא הדוח</t>
  </si>
  <si>
    <t>{http://www.boi.org.il/xbrl/dict/met}si1072</t>
  </si>
  <si>
    <t>{http://www.boi.org.il/xbrl/dict/met}si1073</t>
  </si>
  <si>
    <t>{http://www.boi.org.il/xbrl/dict/met}si1074</t>
  </si>
  <si>
    <t>{http://www.boi.org.il/xbrl/dict/met}si1075</t>
  </si>
  <si>
    <t>{http://www.boi.org.il/xbrl/dict/met}si1076</t>
  </si>
  <si>
    <t>{http://www.boi.org.il/xbrl/dict/met}si1077</t>
  </si>
  <si>
    <t>מורשה החתימה</t>
  </si>
  <si>
    <t>שורות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</si>
  <si>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</si>
  <si>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</si>
  <si>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</si>
  <si>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</si>
  <si>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</si>
  <si>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</si>
  <si>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</si>
  <si>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</si>
  <si>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</si>
  <si>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</si>
  <si>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</si>
  <si>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</si>
  <si>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This form requires macros to be enabled. Please enable macros for this spreadsheet before continuing.</t>
  </si>
  <si>
    <t>868-1 זמינות השירותים בממשק גישה לחשבונות (חודשי)</t>
  </si>
  <si>
    <t>Sheet4_Table0_0</t>
  </si>
  <si>
    <t>868-1</t>
  </si>
  <si>
    <t>סה"כ</t>
  </si>
  <si>
    <t>column</t>
  </si>
  <si>
    <t>{http://www.boi.org.il/xbrl/dict/met}pi1514</t>
  </si>
  <si>
    <t>06:00-13:00</t>
  </si>
  <si>
    <t>{http://www.boi.org.il/xbrl/dict/met}pi1515</t>
  </si>
  <si>
    <t>13:00-00:00</t>
  </si>
  <si>
    <t>{http://www.boi.org.il/xbrl/dict/met}pi1516</t>
  </si>
  <si>
    <t>00:00-06:00</t>
  </si>
  <si>
    <t>{http://www.boi.org.il/xbrl/dict/met}pi1517</t>
  </si>
  <si>
    <t>מזה:</t>
  </si>
  <si>
    <t>שירות מידע פיננסי</t>
  </si>
  <si>
    <t>aspect:{http://www.boi.org.il/xbrl/dict/dim}OBS</t>
  </si>
  <si>
    <t>{http://www.boi.org.il/xbrl/dict/dom/OB}x1</t>
  </si>
  <si>
    <t>שירות יזום תשלומים</t>
  </si>
  <si>
    <t>{http://www.boi.org.il/xbrl/dict/dom/OB}x2</t>
  </si>
  <si>
    <t>זמינות חודשית</t>
  </si>
  <si>
    <t>Open banking services</t>
  </si>
  <si>
    <t>868-2 - בקשות אי פי איי שהתקבלו במהלך החודש (חודשי)</t>
  </si>
  <si>
    <t>Sheet5_Table0_0</t>
  </si>
  <si>
    <t>868-2</t>
  </si>
  <si>
    <t>POST consents</t>
  </si>
  <si>
    <t>{http://www.boi.org.il/xbrl/dict/dom/OB}x3</t>
  </si>
  <si>
    <t>GET consents/{consentId}</t>
  </si>
  <si>
    <t>{http://www.boi.org.il/xbrl/dict/dom/OB}x4</t>
  </si>
  <si>
    <t>DELETE consents/{consentId}</t>
  </si>
  <si>
    <t>{http://www.boi.org.il/xbrl/dict/dom/OB}x5</t>
  </si>
  <si>
    <t>GET consents/{consentId}/status</t>
  </si>
  <si>
    <t>{http://www.boi.org.il/xbrl/dict/dom/OB}x6</t>
  </si>
  <si>
    <t>GET consents/{consentId}/authorisations/{authorisationId}</t>
  </si>
  <si>
    <t>{http://www.boi.org.il/xbrl/dict/dom/OB}x7</t>
  </si>
  <si>
    <t>שירותי הסכמת לקוח</t>
  </si>
  <si>
    <t>GET accounts</t>
  </si>
  <si>
    <t>{http://www.boi.org.il/xbrl/dict/dom/OB}x8</t>
  </si>
  <si>
    <t>GET accounts?withBalance</t>
  </si>
  <si>
    <t>{http://www.boi.org.il/xbrl/dict/dom/OB}x9</t>
  </si>
  <si>
    <t>GET accounts/{account-id}</t>
  </si>
  <si>
    <t>{http://www.boi.org.il/xbrl/dict/dom/OB}x10</t>
  </si>
  <si>
    <t>GET accounts/{account-id}?withBalance</t>
  </si>
  <si>
    <t>{http://www.boi.org.il/xbrl/dict/dom/OB}x11</t>
  </si>
  <si>
    <t>GET accounts/{account-id}/balances</t>
  </si>
  <si>
    <t>{http://www.boi.org.il/xbrl/dict/dom/OB}x12</t>
  </si>
  <si>
    <t>GET accounts/{account-id}/transactions</t>
  </si>
  <si>
    <t>{http://www.boi.org.il/xbrl/dict/dom/OB}x13</t>
  </si>
  <si>
    <t>GET accounts/{account-id}/transactions?withBalance</t>
  </si>
  <si>
    <t>{http://www.boi.org.il/xbrl/dict/dom/OB}x14</t>
  </si>
  <si>
    <t>GET accounts/{account-id}/transactions/{transactionId}</t>
  </si>
  <si>
    <t>{http://www.boi.org.il/xbrl/dict/dom/OB}x15</t>
  </si>
  <si>
    <t>חשבון עו"ש</t>
  </si>
  <si>
    <t>GET cards</t>
  </si>
  <si>
    <t>{http://www.boi.org.il/xbrl/dict/dom/OB}x20</t>
  </si>
  <si>
    <t>GET cards/{card-id}</t>
  </si>
  <si>
    <t>{http://www.boi.org.il/xbrl/dict/dom/OB}x21</t>
  </si>
  <si>
    <t>GET cards/{card-id}/balances</t>
  </si>
  <si>
    <t>{http://www.boi.org.il/xbrl/dict/dom/OB}x22</t>
  </si>
  <si>
    <t>GET cards/{card-id}/transactions</t>
  </si>
  <si>
    <t>{http://www.boi.org.il/xbrl/dict/dom/OB}x23</t>
  </si>
  <si>
    <t>כרטיס חיוב</t>
  </si>
  <si>
    <t>GET savings</t>
  </si>
  <si>
    <t>{http://www.boi.org.il/xbrl/dict/dom/OB}x24</t>
  </si>
  <si>
    <t>GET savings/{savings-account-id}</t>
  </si>
  <si>
    <t>{http://www.boi.org.il/xbrl/dict/dom/OB}x25</t>
  </si>
  <si>
    <t>GET savings/{savings-account-id}/balances</t>
  </si>
  <si>
    <t>{http://www.boi.org.il/xbrl/dict/dom/OB}x26</t>
  </si>
  <si>
    <t>GET savings/{savings-account-id}/transactions</t>
  </si>
  <si>
    <t>{http://www.boi.org.il/xbrl/dict/dom/OB}x27</t>
  </si>
  <si>
    <t>חשבון חסכון</t>
  </si>
  <si>
    <t>GET loans</t>
  </si>
  <si>
    <t>{http://www.boi.org.il/xbrl/dict/dom/OB}x28</t>
  </si>
  <si>
    <t>GET loans/{loan-account-id}</t>
  </si>
  <si>
    <t>{http://www.boi.org.il/xbrl/dict/dom/OB}x29</t>
  </si>
  <si>
    <t>GET loans/{loan-account-id}/balances</t>
  </si>
  <si>
    <t>{http://www.boi.org.il/xbrl/dict/dom/OB}x30</t>
  </si>
  <si>
    <t>GET loans/{loan-account-id}/transactions</t>
  </si>
  <si>
    <t>{http://www.boi.org.il/xbrl/dict/dom/OB}x31</t>
  </si>
  <si>
    <t>חשבון אשראי/הלוואה</t>
  </si>
  <si>
    <t>GET securities</t>
  </si>
  <si>
    <t>{http://www.boi.org.il/xbrl/dict/dom/OB}x93</t>
  </si>
  <si>
    <t>GET securities/{securities-account-id}</t>
  </si>
  <si>
    <t>{http://www.boi.org.il/xbrl/dict/dom/OB}x94</t>
  </si>
  <si>
    <t>GET securities/{securities-account-id/positions}</t>
  </si>
  <si>
    <t>{http://www.boi.org.il/xbrl/dict/dom/OB}x95</t>
  </si>
  <si>
    <t>GET securities/{securities-account-id/transactions}</t>
  </si>
  <si>
    <t>{http://www.boi.org.il/xbrl/dict/dom/OB}x96</t>
  </si>
  <si>
    <t>GET securities/{securities-account-id}/transactions/{transactions-id}</t>
  </si>
  <si>
    <t>{http://www.boi.org.il/xbrl/dict/dom/OB}x97</t>
  </si>
  <si>
    <t>GET securities/{securities-account-id}/{orders}</t>
  </si>
  <si>
    <t>{http://www.boi.org.il/xbrl/dict/dom/OB}x98</t>
  </si>
  <si>
    <t>GET securities/{securities-account-id}/orders/{orders-id}</t>
  </si>
  <si>
    <t>{http://www.boi.org.il/xbrl/dict/dom/OB}x99</t>
  </si>
  <si>
    <t>חשבון ניירות ערך</t>
  </si>
  <si>
    <t>סוגי שירות מידע פיננסי</t>
  </si>
  <si>
    <t>POST payments/{payment-product}</t>
  </si>
  <si>
    <t>{http://www.boi.org.il/xbrl/dict/dom/OB}x32</t>
  </si>
  <si>
    <t>GET payments/{payment-product}/{paymentId}</t>
  </si>
  <si>
    <t>{http://www.boi.org.il/xbrl/dict/dom/OB}x33</t>
  </si>
  <si>
    <t>GET payments/{payment-product}/{paymentId}/status</t>
  </si>
  <si>
    <t>{http://www.boi.org.il/xbrl/dict/dom/OB}x34</t>
  </si>
  <si>
    <t>GET {payment-service}/{payment-product}/{paymentId}/authorisations/{authorisationId}</t>
  </si>
  <si>
    <t>{http://www.boi.org.il/xbrl/dict/dom/OB}x35</t>
  </si>
  <si>
    <t>סוגי שירות יזום תשלומים</t>
  </si>
  <si>
    <t>מזה</t>
  </si>
  <si>
    <t>שהתקבלו במהלך החודש</t>
  </si>
  <si>
    <t>מזה: בחשבון של תאגיד</t>
  </si>
  <si>
    <t>aspect:{http://www.boi.org.il/xbrl/dict/dim}SEC</t>
  </si>
  <si>
    <t>{http://www.boi.org.il/xbrl/dict/dom/SE}x4</t>
  </si>
  <si>
    <t>אחוזון 5</t>
  </si>
  <si>
    <t>aspect:{http://www.boi.org.il/xbrl/dict/dim}PLZ</t>
  </si>
  <si>
    <t>{http://www.boi.org.il/xbrl/dict/dom/PL}x135</t>
  </si>
  <si>
    <t>חציון</t>
  </si>
  <si>
    <t>{http://www.boi.org.il/xbrl/dict/dom/PL}x134</t>
  </si>
  <si>
    <t>אחוזון 95</t>
  </si>
  <si>
    <t>{http://www.boi.org.il/xbrl/dict/dom/PL}x136</t>
  </si>
  <si>
    <t>ממוצע</t>
  </si>
  <si>
    <t>{http://www.boi.org.il/xbrl/dict/dom/PL}x137</t>
  </si>
  <si>
    <t>התפלגות זמן תגובה</t>
  </si>
  <si>
    <t>בקשות API</t>
  </si>
  <si>
    <t>בקשות API תקינות</t>
  </si>
  <si>
    <t>aspect:{http://www.boi.org.il/xbrl/dict/dim}STS</t>
  </si>
  <si>
    <t>{http://www.boi.org.il/xbrl/dict/dom/ST}x260</t>
  </si>
  <si>
    <t>API requests received</t>
  </si>
  <si>
    <t>{http://www.boi.org.il/xbrl/dict/met}pi1518</t>
  </si>
  <si>
    <t>Primary Items / Counterparty / Portfolio size / Validity status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</si>
  <si>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</si>
  <si>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</si>
  <si>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</si>
  <si>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</si>
  <si>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</si>
  <si>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</si>
  <si>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</si>
  <si>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</si>
  <si>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</si>
  <si>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</si>
  <si>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</si>
  <si>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</si>
  <si>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</si>
  <si>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</si>
  <si>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</si>
  <si>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</si>
  <si>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</si>
  <si>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</si>
  <si>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</si>
  <si>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</si>
  <si>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</si>
  <si>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</si>
  <si>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</si>
  <si>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</si>
  <si>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</si>
  <si>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868-3 בקשות אי פי איי תקינות שנשלחו במהלך החודש - שירות מידע פיננסי (חודשי)</t>
  </si>
  <si>
    <t>Sheet6_Table0_0</t>
  </si>
  <si>
    <t>868-3</t>
  </si>
  <si>
    <t>סה"כ בקשות API תקינות</t>
  </si>
  <si>
    <t>{http://www.boi.org.il/xbrl/dict/met}pi1519</t>
  </si>
  <si>
    <t>Primary Items / Validity status / Counterparty</t>
  </si>
  <si>
    <t>868 - 4 בקשות אי פי איי תקינות שנשלחו במהלך החודש - שירות יזום תשלומים (חודשי)</t>
  </si>
  <si>
    <t>Sheet7_Table0_0</t>
  </si>
  <si>
    <t>868-4</t>
  </si>
  <si>
    <t>Primary Items / Validity status</t>
  </si>
  <si>
    <t>868-5 -בקשות אי פי איי שנדחו במהלך החודש (חודשי)</t>
  </si>
  <si>
    <t>Sheet8_Table0_0</t>
  </si>
  <si>
    <t>868-5</t>
  </si>
  <si>
    <t>{http://www.boi.org.il/xbrl/dict/dom/ST}x261</t>
  </si>
  <si>
    <t>בקשות API שנדחו במהלך החודש:</t>
  </si>
  <si>
    <t>CERTIFICATE_INVALID</t>
  </si>
  <si>
    <t>aspect:{http://www.boi.org.il/xbrl/dict/dim}OBM</t>
  </si>
  <si>
    <t>{http://www.boi.org.il/xbrl/dict/dom/OB}x36</t>
  </si>
  <si>
    <t>ROLE_INVALID</t>
  </si>
  <si>
    <t>{http://www.boi.org.il/xbrl/dict/dom/OB}x37</t>
  </si>
  <si>
    <t>CERTIFICATE_EXPIRED</t>
  </si>
  <si>
    <t>{http://www.boi.org.il/xbrl/dict/dom/OB}x38</t>
  </si>
  <si>
    <t>CERTIFICATE_BLOCKED</t>
  </si>
  <si>
    <t>{http://www.boi.org.il/xbrl/dict/dom/OB}x39</t>
  </si>
  <si>
    <t>CERTIFICATE_REVOKED</t>
  </si>
  <si>
    <t>{http://www.boi.org.il/xbrl/dict/dom/OB}x40</t>
  </si>
  <si>
    <t>CERTIFICATE_MISSING</t>
  </si>
  <si>
    <t>{http://www.boi.org.il/xbrl/dict/dom/OB}x41</t>
  </si>
  <si>
    <t>SIGNATURE_INVALID</t>
  </si>
  <si>
    <t>{http://www.boi.org.il/xbrl/dict/dom/OB}x42</t>
  </si>
  <si>
    <t>SIGNATURE_MISSING</t>
  </si>
  <si>
    <t>{http://www.boi.org.il/xbrl/dict/dom/OB}x43</t>
  </si>
  <si>
    <t>FORMAT_ERROR</t>
  </si>
  <si>
    <t>{http://www.boi.org.il/xbrl/dict/dom/OB}x44</t>
  </si>
  <si>
    <t>PARAMETER_NOT_CONSISTENT</t>
  </si>
  <si>
    <t>{http://www.boi.org.il/xbrl/dict/dom/OB}x45</t>
  </si>
  <si>
    <t>PARAMETER_NOT_SUPPORTED</t>
  </si>
  <si>
    <t>{http://www.boi.org.il/xbrl/dict/dom/OB}x46</t>
  </si>
  <si>
    <t>PSU_CREDENTIALS_INVALID</t>
  </si>
  <si>
    <t>{http://www.boi.org.il/xbrl/dict/dom/OB}x47</t>
  </si>
  <si>
    <t>SERVICE_INVALID</t>
  </si>
  <si>
    <t>{http://www.boi.org.il/xbrl/dict/dom/OB}x48</t>
  </si>
  <si>
    <t>קוד 400</t>
  </si>
  <si>
    <t>{http://www.boi.org.il/xbrl/dict/dom/OB}x49</t>
  </si>
  <si>
    <t>קוד 405</t>
  </si>
  <si>
    <t>{http://www.boi.org.il/xbrl/dict/dom/OB}x50</t>
  </si>
  <si>
    <t>SERVICE_BLOCKED</t>
  </si>
  <si>
    <t>{http://www.boi.org.il/xbrl/dict/dom/OB}x51</t>
  </si>
  <si>
    <t>CORPORATE_ID_INVALID</t>
  </si>
  <si>
    <t>{http://www.boi.org.il/xbrl/dict/dom/OB}x52</t>
  </si>
  <si>
    <t>CONSENT_UNKNOWN</t>
  </si>
  <si>
    <t>{http://www.boi.org.il/xbrl/dict/dom/OB}x53</t>
  </si>
  <si>
    <t>{http://www.boi.org.il/xbrl/dict/dom/OB}x54</t>
  </si>
  <si>
    <t>קוד 403</t>
  </si>
  <si>
    <t>{http://www.boi.org.il/xbrl/dict/dom/OB}x55</t>
  </si>
  <si>
    <t>CONSENT_INVALID</t>
  </si>
  <si>
    <t>{http://www.boi.org.il/xbrl/dict/dom/OB}x56</t>
  </si>
  <si>
    <t>CONSENT_EXPIRED</t>
  </si>
  <si>
    <t>{http://www.boi.org.il/xbrl/dict/dom/OB}x57</t>
  </si>
  <si>
    <t>TOKEN_UNKNOWN</t>
  </si>
  <si>
    <t>{http://www.boi.org.il/xbrl/dict/dom/OB}x58</t>
  </si>
  <si>
    <t>TOKEN_INVALID</t>
  </si>
  <si>
    <t>{http://www.boi.org.il/xbrl/dict/dom/OB}x59</t>
  </si>
  <si>
    <t>TOKEN_EXPIRED</t>
  </si>
  <si>
    <t>{http://www.boi.org.il/xbrl/dict/dom/OB}x60</t>
  </si>
  <si>
    <t>RESOURCE_UNKNOWN</t>
  </si>
  <si>
    <t>{http://www.boi.org.il/xbrl/dict/dom/OB}x61</t>
  </si>
  <si>
    <t>{http://www.boi.org.il/xbrl/dict/dom/OB}x62</t>
  </si>
  <si>
    <t>{http://www.boi.org.il/xbrl/dict/dom/OB}x63</t>
  </si>
  <si>
    <t>קוד 404</t>
  </si>
  <si>
    <t>{http://www.boi.org.il/xbrl/dict/dom/OB}x64</t>
  </si>
  <si>
    <t>RESOURCE_EXPIRED</t>
  </si>
  <si>
    <t>{http://www.boi.org.il/xbrl/dict/dom/OB}x65</t>
  </si>
  <si>
    <t>{http://www.boi.org.il/xbrl/dict/dom/OB}x66</t>
  </si>
  <si>
    <t>{http://www.boi.org.il/xbrl/dict/dom/OB}x67</t>
  </si>
  <si>
    <t>RESOURCE_BLOCKED</t>
  </si>
  <si>
    <t>{http://www.boi.org.il/xbrl/dict/dom/OB}x68</t>
  </si>
  <si>
    <t>TIMESTAMP_INVALID</t>
  </si>
  <si>
    <t>{http://www.boi.org.il/xbrl/dict/dom/OB}x69</t>
  </si>
  <si>
    <t>PERIOD_INVALID</t>
  </si>
  <si>
    <t>{http://www.boi.org.il/xbrl/dict/dom/OB}x70</t>
  </si>
  <si>
    <t>SCA_METHOD_UNKNOWN</t>
  </si>
  <si>
    <t>{http://www.boi.org.il/xbrl/dict/dom/OB}x71</t>
  </si>
  <si>
    <t>STATUS_INVALID</t>
  </si>
  <si>
    <t>{http://www.boi.org.il/xbrl/dict/dom/OB}x72</t>
  </si>
  <si>
    <t>הודעות שגיאה - כללי</t>
  </si>
  <si>
    <t>SESSIONS_NOT_SUPPORTED</t>
  </si>
  <si>
    <t>{http://www.boi.org.il/xbrl/dict/dom/OB}x73</t>
  </si>
  <si>
    <t>ACCESS_EXCEEDED</t>
  </si>
  <si>
    <t>{http://www.boi.org.il/xbrl/dict/dom/OB}x74</t>
  </si>
  <si>
    <t>REQUESTED_FORMATS_INVALID</t>
  </si>
  <si>
    <t>{http://www.boi.org.il/xbrl/dict/dom/OB}x75</t>
  </si>
  <si>
    <t>הודעת שגיאה - שירות מידע פיננסי</t>
  </si>
  <si>
    <t>PRODUCT_INVALID</t>
  </si>
  <si>
    <t>{http://www.boi.org.il/xbrl/dict/dom/OB}x76</t>
  </si>
  <si>
    <t>PRODUCT_UNKNOWN</t>
  </si>
  <si>
    <t>{http://www.boi.org.il/xbrl/dict/dom/OB}x77</t>
  </si>
  <si>
    <t>PAYMENT_FAILED</t>
  </si>
  <si>
    <t>{http://www.boi.org.il/xbrl/dict/dom/OB}x78</t>
  </si>
  <si>
    <t>EXECUTION_DATE_INVALID</t>
  </si>
  <si>
    <t>{http://www.boi.org.il/xbrl/dict/dom/OB}x79</t>
  </si>
  <si>
    <t>BENEFICIARY_WHITELISTING_REQUIRED</t>
  </si>
  <si>
    <t>{http://www.boi.org.il/xbrl/dict/dom/OB}x80</t>
  </si>
  <si>
    <t>CONTENT_INVALID</t>
  </si>
  <si>
    <t>{http://www.boi.org.il/xbrl/dict/dom/OB}x81</t>
  </si>
  <si>
    <t>CANCELLATION_INVALID</t>
  </si>
  <si>
    <t>{http://www.boi.org.il/xbrl/dict/dom/OB}x82</t>
  </si>
  <si>
    <t>הודעות שגיאה - שירות יזום תשלומים</t>
  </si>
  <si>
    <t>אחר</t>
  </si>
  <si>
    <t>{http://www.boi.org.il/xbrl/dict/dom/OB}x83</t>
  </si>
  <si>
    <t>Open banking messages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</si>
  <si>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</si>
  <si>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</si>
  <si>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</si>
  <si>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</si>
  <si>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</si>
  <si>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</si>
  <si>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</si>
  <si>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</si>
  <si>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</si>
  <si>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</si>
  <si>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</si>
  <si>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</si>
  <si>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868-6 מניעת גישה במהלך החודש (חודשי)</t>
  </si>
  <si>
    <t>Sheet9_Table0_0</t>
  </si>
  <si>
    <t>868-6</t>
  </si>
  <si>
    <t>שם הארגון</t>
  </si>
  <si>
    <t>{http://www.boi.org.il/xbrl/dict/met}si1520</t>
  </si>
  <si>
    <t>מזהה</t>
  </si>
  <si>
    <t>{http://www.boi.org.il/xbrl/dict/met}si1521</t>
  </si>
  <si>
    <t>שם האפליקציה</t>
  </si>
  <si>
    <t>{http://www.boi.org.il/xbrl/dict/met}si1522</t>
  </si>
  <si>
    <t>ROLE</t>
  </si>
  <si>
    <t>{http://www.boi.org.il/xbrl/dict/met}ei1523</t>
  </si>
  <si>
    <t>פרטי ספק צד ג'</t>
  </si>
  <si>
    <t>תאריך</t>
  </si>
  <si>
    <t>{http://www.boi.org.il/xbrl/dict/met}di1524</t>
  </si>
  <si>
    <t>שעה</t>
  </si>
  <si>
    <t>{http://www.boi.org.il/xbrl/dict/met}ti1525</t>
  </si>
  <si>
    <t>מועד תחילה של מניעת הגישה לממשק גישה לחשבונות</t>
  </si>
  <si>
    <t>{http://www.boi.org.il/xbrl/dict/met}di1526</t>
  </si>
  <si>
    <t>{http://www.boi.org.il/xbrl/dict/met}ti1527</t>
  </si>
  <si>
    <t>מועד הסרת מניעת הגישה לממשק גישה לחשבונות</t>
  </si>
  <si>
    <t>משך זמן מניעת הגישה לממשק גישה לחשבונות</t>
  </si>
  <si>
    <t>{http://www.boi.org.il/xbrl/dict/met}si1528</t>
  </si>
  <si>
    <t>חשש ממשי לגישה לא מורשית למידע או להפרת חובת הסודיות לגבי המידע</t>
  </si>
  <si>
    <t>{http://www.boi.org.il/xbrl/dict/met}bi1529</t>
  </si>
  <si>
    <t>איסור על פי דין למסור את המידע ללקוח</t>
  </si>
  <si>
    <t>{http://www.boi.org.il/xbrl/dict/met}bi1530</t>
  </si>
  <si>
    <t>מקרה בו הרשאת הגישה ניתנה בידי אחד מבעלי החשבון בחשבון משותף, בהתאם להוראות סעיף 43(ב), והוא הפסיק להיות הבעלים בחשבון</t>
  </si>
  <si>
    <t>{http://www.boi.org.il/xbrl/dict/met}bi1531</t>
  </si>
  <si>
    <t>{http://www.boi.org.il/xbrl/dict/met}si1532</t>
  </si>
  <si>
    <t>סיבת מניעת הגישה</t>
  </si>
  <si>
    <t>האם מניעת הגישה נעשתה כלפי כלל לקוחותיו?</t>
  </si>
  <si>
    <t>{http://www.boi.org.il/xbrl/dict/met}si1533</t>
  </si>
  <si>
    <t>האם נשלחה הודעה לספק צד ג'</t>
  </si>
  <si>
    <t>{http://www.boi.org.il/xbrl/dict/met}si1534</t>
  </si>
  <si>
    <t>s0</t>
  </si>
  <si>
    <t>s0e0</t>
  </si>
  <si>
    <t>aspect:{http://www.boi.org.il/xbrl/dict/dim}TXH</t>
  </si>
  <si>
    <t>מספר שורה</t>
  </si>
  <si>
    <t>PSP_IC</t>
  </si>
  <si>
    <t>PSP_AS</t>
  </si>
  <si>
    <t>PSP_PI</t>
  </si>
  <si>
    <t>PSP_AI</t>
  </si>
  <si>
    <t>{http://www.boi.org.il/xbrl/dict/dom/OB}x84</t>
  </si>
  <si>
    <t>{http://www.boi.org.il/xbrl/dict/dom/OB}x85</t>
  </si>
  <si>
    <t>{http://www.boi.org.il/xbrl/dict/dom/OB}x86</t>
  </si>
  <si>
    <t>{http://www.boi.org.il/xbrl/dict/dom/OB}x87</t>
  </si>
  <si>
    <t>Yes</t>
  </si>
  <si>
    <t>No</t>
  </si>
  <si>
    <t>true</t>
  </si>
  <si>
    <t>false</t>
  </si>
  <si>
    <t>tnfc.messagebox.title</t>
  </si>
  <si>
    <t>CoreFiling Forms</t>
  </si>
  <si>
    <t>tnfc.addrow</t>
  </si>
  <si>
    <t>Add Row</t>
  </si>
  <si>
    <t>tnfc.addcol</t>
  </si>
  <si>
    <t>Add Column</t>
  </si>
  <si>
    <t>tnfc.delete</t>
  </si>
  <si>
    <t>Delete</t>
  </si>
  <si>
    <t>tnfc.multiple</t>
  </si>
  <si>
    <t>Add...</t>
  </si>
  <si>
    <t>tnfc.multiple.invalid</t>
  </si>
  <si>
    <t>Please enter a valid number.</t>
  </si>
  <si>
    <t>tnfc.multiple.number.row</t>
  </si>
  <si>
    <t>Enter the number of rows to add.</t>
  </si>
  <si>
    <t>tnfc.multiple.number.col</t>
  </si>
  <si>
    <t>Enter the number of columns to add.</t>
  </si>
  <si>
    <t>tnfc.multiple.error.row</t>
  </si>
  <si>
    <t>Could not add the requested number of rows to the sheet.</t>
  </si>
  <si>
    <t>tnfc.multiple.error.col</t>
  </si>
  <si>
    <t>Could not add the requested number of columns to the sheet.</t>
  </si>
  <si>
    <t>tnfc.delete.message.row</t>
  </si>
  <si>
    <t>Select an area to delete row(s) from the table. Note: the selection must be wholly contained within a repeatable section of the table and should consist of a single selection.</t>
  </si>
  <si>
    <t>tnfc.delete.message.col</t>
  </si>
  <si>
    <t>Select an area to delete column(s) from the table. Note: the selection must be wholly contained within a repeatable section of the table and should consist of a single selection.</t>
  </si>
  <si>
    <t>tnfc.delete.error.row</t>
  </si>
  <si>
    <t>The selected row(s) cannot be deleted as they are the only rows in an open section of the table</t>
  </si>
  <si>
    <t>tnfc.delete.error.col</t>
  </si>
  <si>
    <t>The selected column(s) cannot be deleted as they are the only columns in an open section of the table</t>
  </si>
  <si>
    <t>tnfc.blank.defaulttext</t>
  </si>
  <si>
    <t>ERROR</t>
  </si>
  <si>
    <t>tnfc.dropdown</t>
  </si>
  <si>
    <t>Please select a value from the drop-down list.</t>
  </si>
  <si>
    <t>tnfc.invalid</t>
  </si>
  <si>
    <t>Invalid Value</t>
  </si>
  <si>
    <t>tnfc.blank</t>
  </si>
  <si>
    <t>Cell should not be blank.</t>
  </si>
  <si>
    <t>tnfc.addtable</t>
  </si>
  <si>
    <t>Copy</t>
  </si>
  <si>
    <t>tnfc.deltable</t>
  </si>
  <si>
    <t>tnfc.deltable.error</t>
  </si>
  <si>
    <t>Cannot delete last copy of table.</t>
  </si>
  <si>
    <t>tnfc.deltable.confirm.text</t>
  </si>
  <si>
    <t>Are you sure you want to delete this table? 
This action cannot be undone.</t>
  </si>
  <si>
    <t>tnfc.cleartable</t>
  </si>
  <si>
    <t>Clear</t>
  </si>
  <si>
    <t>tnfc.cleartable.confirm.text</t>
  </si>
  <si>
    <t>Are you sure you want to remove all data from editable cells in this table? 
This action cannot be undone.</t>
  </si>
  <si>
    <t>tnfc.unknownsheetname</t>
  </si>
  <si>
    <t>Data on copied forms will not be converted.</t>
  </si>
  <si>
    <t>tnfc.sharedworkbookwarning</t>
  </si>
  <si>
    <t>This workbook is shared. 
Some of its features are unavailable.</t>
  </si>
  <si>
    <t>tnfc.passwordprotectedworkbookwarning</t>
  </si>
  <si>
    <t>This workbook is protected. 
Some of its features are unavailable.</t>
  </si>
  <si>
    <t>tnfc.maxrow</t>
  </si>
  <si>
    <t>Could not add the requested number of rows to the sheet as they would exceed the maximum number of rows supported by Excel.</t>
  </si>
  <si>
    <t>tnfc.maxcol</t>
  </si>
  <si>
    <t>Could not add the requested number of columns to the sheet as they would exceed the maximum number of columns supported by Excel.</t>
  </si>
  <si>
    <t>tnfc.add.multipleopen</t>
  </si>
  <si>
    <t>This form contains multiple repeatable sections. Please select a header cell in the section you wish to repeat.</t>
  </si>
  <si>
    <t>tnfc.deletedsheet</t>
  </si>
  <si>
    <t>Sheet '{0}' has been removed. This workbook can no longer be converted to XBRL. If this was not intended, please close the workbook without saving, and re-open it.</t>
  </si>
  <si>
    <t>tnfc.dropdowns.none</t>
  </si>
  <si>
    <t>&lt;none&gt;</t>
  </si>
  <si>
    <t>tnfc.multilistform.title</t>
  </si>
  <si>
    <t>Multi-item selection</t>
  </si>
  <si>
    <t>tnfc.multilistform.separator</t>
  </si>
  <si>
    <t xml:space="preserve"> | </t>
  </si>
  <si>
    <t>tnfc.data.entry.bg.r</t>
  </si>
  <si>
    <t>255</t>
  </si>
  <si>
    <t>tnfc.data.entry.bg.g</t>
  </si>
  <si>
    <t>tnfc.data.entry.bg.b</t>
  </si>
  <si>
    <t>tnfc.data.entry.border.r</t>
  </si>
  <si>
    <t>192</t>
  </si>
  <si>
    <t>tnfc.data.entry.border.g</t>
  </si>
  <si>
    <t>tnfc.data.entry.border.b</t>
  </si>
  <si>
    <t>tnfc.data.entry.disabled.bg.r</t>
  </si>
  <si>
    <t>tnfc.data.entry.disabled.bg.g</t>
  </si>
  <si>
    <t>tnfc.data.entry.disabled.bg.b</t>
  </si>
  <si>
    <t>tnfc.data.entry.disabled.border.r</t>
  </si>
  <si>
    <t>tnfc.data.entry.disabled.border.g</t>
  </si>
  <si>
    <t>tnfc.data.entry.disabled.border.b</t>
  </si>
  <si>
    <t>Code</t>
  </si>
  <si>
    <t>Severity</t>
  </si>
  <si>
    <t>Message</t>
  </si>
  <si>
    <t>Fact locations</t>
  </si>
  <si>
    <t>No issues were found</t>
  </si>
</sst>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:ss"/>
    <numFmt numFmtId="166" formatCode="hh:mm:ss"/>
  </numFmts>
  <fonts count="10">
    <font>
      <sz val="11.0"/>
      <name val="Calibri"/>
      <family val="2"/>
      <scheme val="minor"/>
    </font>
    <font>
      <name val="Calibri"/>
      <sz val="11.0"/>
      <color rgb="000000"/>
    </font>
    <font>
      <name val="Calibri"/>
      <sz val="11.0"/>
      <color rgb="000000"/>
      <b val="true"/>
    </font>
    <font>
      <name val="Calibri"/>
      <sz val="11.0"/>
      <color rgb="000000"/>
      <i val="true"/>
    </font>
    <font>
      <name val="Calibri"/>
      <sz val="11.0"/>
      <color rgb="000000"/>
    </font>
    <font>
      <name val="Calibri"/>
      <sz val="11.0"/>
      <color rgb="000000"/>
    </font>
    <font>
      <name val="Calibri"/>
      <sz val="11.0"/>
      <b val="true"/>
    </font>
    <font>
      <name val="Calibri"/>
      <sz val="11.0"/>
      <color indexed="9"/>
    </font>
    <font>
      <name val="Calibri"/>
      <sz val="11.0"/>
      <b val="true"/>
    </font>
    <font>
      <name val="Calibri"/>
      <sz val="11.0"/>
      <u val="single"/>
      <color indexed="12"/>
    </font>
  </fonts>
  <fills count="19">
    <fill>
      <patternFill patternType="none"/>
    </fill>
    <fill>
      <patternFill patternType="darkGray"/>
    </fill>
    <fill>
      <patternFill patternType="none">
        <fgColor rgb="C5D9F1"/>
      </patternFill>
    </fill>
    <fill>
      <patternFill patternType="solid">
        <fgColor rgb="C5D9F1"/>
      </patternFill>
    </fill>
    <fill>
      <patternFill patternType="none">
        <fgColor rgb="C5F1D9"/>
      </patternFill>
    </fill>
    <fill>
      <patternFill patternType="solid">
        <fgColor rgb="C5F1D9"/>
      </patternFill>
    </fill>
    <fill>
      <patternFill patternType="none">
        <fgColor rgb="FFFFFF"/>
      </patternFill>
    </fill>
    <fill>
      <patternFill patternType="solid">
        <fgColor rgb="FFFFFF"/>
      </patternFill>
    </fill>
    <fill>
      <patternFill patternType="none">
        <fgColor rgb="FFBF59"/>
      </patternFill>
    </fill>
    <fill>
      <patternFill patternType="solid">
        <fgColor rgb="FFBF59"/>
      </patternFill>
    </fill>
    <fill>
      <patternFill patternType="none">
        <fgColor rgb="E6A2A2"/>
      </patternFill>
    </fill>
    <fill>
      <patternFill patternType="solid">
        <fgColor rgb="E6A2A2"/>
      </patternFill>
    </fill>
    <fill>
      <patternFill patternType="none">
        <fgColor rgb="C0C0C0"/>
      </patternFill>
    </fill>
    <fill>
      <patternFill patternType="solid">
        <fgColor rgb="C0C0C0"/>
      </patternFill>
    </fill>
    <fill>
      <patternFill patternType="lightUp">
        <fgColor rgb="C0C0C0"/>
      </patternFill>
    </fill>
    <fill>
      <patternFill patternType="lightUp">
        <fgColor rgb="C0C0C0"/>
        <bgColor rgb="FFFFFF"/>
      </patternFill>
    </fill>
    <fill>
      <patternFill patternType="none">
        <fgColor rgb="FF0000"/>
      </patternFill>
    </fill>
    <fill>
      <patternFill patternType="solid">
        <fgColor rgb="FF0000"/>
      </patternFill>
    </fill>
    <fill>
      <patternFill patternType="lightUp">
        <fgColor rgb="C0C0C0"/>
        <bgColor rgb="E6A2A2"/>
      </patternFill>
    </fill>
  </fills>
  <borders count="21">
    <border>
      <left/>
      <right/>
      <top/>
      <bottom/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>
        <color rgb="000000"/>
      </top>
      <bottom style="thin"/>
    </border>
    <border>
      <left style="thin"/>
      <right style="thin">
        <color rgb="000000"/>
      </right>
      <top style="thin">
        <color rgb="000000"/>
      </top>
      <bottom style="thin"/>
    </border>
    <border>
      <left style="thin"/>
      <right style="thin">
        <color rgb="000000"/>
      </right>
      <top style="thin">
        <color rgb="000000"/>
      </top>
      <bottom style="thin">
        <color rgb="000000"/>
      </bottom>
    </border>
    <border>
      <left style="thin">
        <color rgb="000000"/>
      </left>
      <right style="thin">
        <color rgb="000000"/>
      </right>
      <top style="thin">
        <color rgb="000000"/>
      </top>
      <bottom style="thin">
        <color rgb="000000"/>
      </bottom>
    </border>
    <border>
      <left style="thin">
        <color rgb="000000"/>
      </left>
      <right style="thin">
        <color rgb="000000"/>
      </right>
      <top style="thin">
        <color rgb="000000"/>
      </top>
    </border>
    <border/>
    <border>
      <left style="thin"/>
      <right style="thin"/>
      <top style="thin">
        <color rgb="C0C0C0"/>
      </top>
      <bottom style="thin"/>
    </border>
    <border>
      <left style="thin"/>
      <right style="thin">
        <color rgb="C0C0C0"/>
      </right>
      <top style="thin">
        <color rgb="C0C0C0"/>
      </top>
      <bottom style="thin"/>
    </border>
    <border>
      <left style="thin"/>
      <right style="thin">
        <color rgb="C0C0C0"/>
      </right>
      <top style="thin">
        <color rgb="C0C0C0"/>
      </top>
      <bottom style="thin">
        <color rgb="C0C0C0"/>
      </bottom>
    </border>
    <border>
      <left style="thin">
        <color rgb="C0C0C0"/>
      </left>
      <right style="thin">
        <color rgb="C0C0C0"/>
      </right>
      <top style="thin">
        <color rgb="C0C0C0"/>
      </top>
      <bottom style="thin">
        <color rgb="C0C0C0"/>
      </bottom>
    </border>
    <border>
      <left style="thin">
        <color rgb="000000"/>
      </left>
      <top style="thin">
        <color rgb="000000"/>
      </top>
      <bottom style="thin">
        <color rgb="000000"/>
      </bottom>
    </border>
    <border>
      <right style="thin">
        <color rgb="C0C0C0"/>
      </right>
      <top style="thin">
        <color rgb="C0C0C0"/>
      </top>
      <bottom style="thin">
        <color rgb="C0C0C0"/>
      </bottom>
    </border>
    <border>
      <right style="thin">
        <color rgb="C0C0C0"/>
      </right>
      <bottom style="thin">
        <color rgb="C0C0C0"/>
      </bottom>
    </border>
    <border>
      <left style="thin">
        <color rgb="000000"/>
      </left>
      <right style="thin">
        <color rgb="000000"/>
      </right>
      <top style="thin">
        <color rgb="C5D9F1"/>
      </top>
      <bottom style="thin">
        <color rgb="000000"/>
      </bottom>
    </border>
    <border>
      <left style="thin">
        <color rgb="000000"/>
      </left>
      <right style="thin">
        <color rgb="000000"/>
      </right>
      <top style="thin">
        <color rgb="C5D9F1"/>
      </top>
    </border>
    <border>
      <left style="thin">
        <color rgb="C0C0C0"/>
      </left>
      <right style="thin">
        <color rgb="C0C0C0"/>
      </right>
      <bottom style="thin">
        <color rgb="C0C0C0"/>
      </bottom>
    </border>
  </borders>
  <cellStyleXfs count="1">
    <xf numFmtId="0" fontId="0" fillId="0" borderId="0"/>
  </cellStyleXfs>
  <cellXfs count="68">
    <xf numFmtId="0" fontId="0" fillId="0" borderId="0" xfId="0"/>
    <xf numFmtId="0" fontId="0" fillId="3" borderId="8" xfId="0" applyBorder="true" applyFill="true">
      <alignment horizontal="right" wrapText="true" vertical="top"/>
    </xf>
    <xf numFmtId="0" fontId="2" fillId="3" borderId="8" xfId="0" applyBorder="true" applyFill="true" applyFont="true" applyNumberFormat="true">
      <alignment horizontal="right" wrapText="true" vertical="top"/>
    </xf>
    <xf numFmtId="0" fontId="2" fillId="3" borderId="9" xfId="0" applyBorder="true" applyFill="true" applyFont="true" applyNumberFormat="true">
      <alignment horizontal="right" wrapText="true" vertical="top"/>
    </xf>
    <xf numFmtId="0" fontId="0" fillId="3" borderId="8" xfId="0" applyBorder="true" applyFill="true">
      <alignment horizontal="right" wrapText="true" vertical="top"/>
    </xf>
    <xf numFmtId="0" fontId="2" fillId="3" borderId="8" xfId="0" applyBorder="true" applyFill="true" applyFont="true" applyNumberFormat="true">
      <alignment horizontal="right" wrapText="true" vertical="top"/>
    </xf>
    <xf numFmtId="0" fontId="0" fillId="5" borderId="8" xfId="0" applyBorder="true" applyFill="true">
      <alignment horizontal="right" vertical="top"/>
    </xf>
    <xf numFmtId="0" fontId="4" fillId="5" borderId="8" xfId="0" applyBorder="true" applyFill="true" applyFont="true" applyNumberFormat="true">
      <alignment horizontal="right" vertical="top"/>
    </xf>
    <xf numFmtId="0" fontId="4" fillId="5" borderId="9" xfId="0" applyBorder="true" applyFill="true" applyFont="true" applyNumberFormat="true">
      <alignment horizontal="right" vertical="top"/>
    </xf>
    <xf numFmtId="0" fontId="0" fillId="5" borderId="8" xfId="0" applyBorder="true" applyFill="true">
      <alignment horizontal="right" vertical="top" wrapText="true"/>
    </xf>
    <xf numFmtId="0" fontId="4" fillId="5" borderId="8" xfId="0" applyBorder="true" applyFill="true" applyFont="true" applyNumberFormat="true">
      <alignment horizontal="right" vertical="top" wrapText="true"/>
    </xf>
    <xf numFmtId="0" fontId="0" fillId="3" borderId="0" xfId="0" applyFill="true">
      <alignment horizontal="right" vertical="top"/>
    </xf>
    <xf numFmtId="0" fontId="2" fillId="3" borderId="10" xfId="0" applyFill="true" applyFont="true" applyNumberFormat="true" applyBorder="true">
      <alignment horizontal="right" vertical="top"/>
    </xf>
    <xf numFmtId="0" fontId="0" fillId="7" borderId="14" xfId="0" applyBorder="true" applyFill="true">
      <alignment horizontal="right" vertical="top"/>
    </xf>
    <xf numFmtId="0" fontId="5" fillId="7" borderId="14" xfId="0" applyBorder="true" applyFill="true" applyFont="true" applyNumberFormat="true">
      <alignment horizontal="right" vertical="top"/>
    </xf>
    <xf numFmtId="0" fontId="0" fillId="9" borderId="0" xfId="0" applyFill="true">
      <alignment horizontal="right" vertical="top"/>
    </xf>
    <xf numFmtId="0" fontId="5" fillId="9" borderId="10" xfId="0" applyFill="true" applyFont="true" applyNumberFormat="true" applyBorder="true">
      <alignment horizontal="right" vertical="top"/>
    </xf>
    <xf numFmtId="164" fontId="5" fillId="9" borderId="14" xfId="0" applyBorder="true" applyFont="true" applyFill="true" applyNumberFormat="true">
      <alignment horizontal="right" vertical="top"/>
    </xf>
    <xf numFmtId="165" fontId="5" fillId="9" borderId="14" xfId="0" applyBorder="true" applyFont="true" applyFill="true" applyNumberFormat="true">
      <alignment horizontal="right" vertical="top"/>
    </xf>
    <xf numFmtId="166" fontId="5" fillId="9" borderId="14" xfId="0" applyBorder="true" applyFont="true" applyFill="true" applyNumberFormat="true">
      <alignment horizontal="right" vertical="top"/>
    </xf>
    <xf numFmtId="0" fontId="0" fillId="11" borderId="14" xfId="0" applyBorder="true" applyFill="true">
      <alignment horizontal="right" vertical="top"/>
    </xf>
    <xf numFmtId="0" fontId="5" fillId="11" borderId="14" xfId="0" applyBorder="true" applyFill="true" applyFont="true" applyNumberFormat="true">
      <alignment horizontal="right" vertical="top"/>
    </xf>
    <xf numFmtId="164" fontId="5" fillId="7" borderId="14" xfId="0" applyBorder="true" applyFont="true" applyFill="true" applyNumberFormat="true">
      <alignment horizontal="right" vertical="top"/>
    </xf>
    <xf numFmtId="165" fontId="5" fillId="7" borderId="14" xfId="0" applyBorder="true" applyFont="true" applyFill="true" applyNumberFormat="true">
      <alignment horizontal="right" vertical="top"/>
    </xf>
    <xf numFmtId="166" fontId="5" fillId="7" borderId="14" xfId="0" applyBorder="true" applyFont="true" applyFill="true" applyNumberFormat="true">
      <alignment horizontal="right" vertical="top"/>
    </xf>
    <xf numFmtId="0" fontId="0" fillId="13" borderId="14" xfId="0" applyBorder="true" applyFill="true">
      <alignment horizontal="right"/>
    </xf>
    <xf numFmtId="0" fontId="5" fillId="13" borderId="14" xfId="0" applyBorder="true" applyFill="true" applyFont="true" applyNumberFormat="true">
      <alignment horizontal="right"/>
    </xf>
    <xf numFmtId="0" fontId="0" fillId="15" borderId="14" xfId="0" applyBorder="true" applyFill="true">
      <alignment horizontal="right" vertical="top"/>
    </xf>
    <xf numFmtId="0" fontId="6" fillId="17" borderId="0" xfId="0" applyFont="true" applyFill="true">
      <alignment horizontal="center" wrapText="true"/>
    </xf>
    <xf numFmtId="0" fontId="7" fillId="0" borderId="0" xfId="0" applyFont="true">
      <alignment shrinkToFit="true"/>
      <protection hidden="true"/>
    </xf>
    <xf numFmtId="0" fontId="7" fillId="0" borderId="14" xfId="0" applyBorder="true" applyFont="true">
      <alignment horizontal="right" shrinkToFit="true"/>
      <protection hidden="true"/>
    </xf>
    <xf numFmtId="0" fontId="0" fillId="18" borderId="14" xfId="0" applyBorder="true" applyFill="true">
      <alignment horizontal="right" vertical="top"/>
    </xf>
    <xf numFmtId="0" fontId="0" fillId="0" borderId="0" xfId="0">
      <alignment horizontal="right" vertical="top"/>
    </xf>
    <xf numFmtId="0" fontId="0" fillId="0" borderId="0" xfId="0">
      <alignment horizontal="right" vertical="top" wrapText="true"/>
    </xf>
    <xf numFmtId="0" fontId="8" fillId="0" borderId="0" xfId="0" applyFont="true">
      <alignment horizontal="right" vertical="top" wrapText="true"/>
    </xf>
    <xf numFmtId="0" fontId="8" fillId="0" borderId="0" xfId="0" applyFont="true">
      <alignment horizontal="right" vertical="top"/>
    </xf>
    <xf numFmtId="0" fontId="9" fillId="0" borderId="0" xfId="0" applyFont="true">
      <alignment horizontal="right" vertical="top"/>
    </xf>
    <xf numFmtId="49" fontId="0" fillId="0" borderId="10" xfId="0" applyNumberFormat="true" applyBorder="true">
      <alignment horizontal="right"/>
    </xf>
    <xf numFmtId="0" fontId="2" fillId="3" borderId="8" xfId="0" applyBorder="true" applyFill="true" applyFont="true" applyNumberFormat="true">
      <alignment horizontal="right" wrapText="true" vertical="top" indent="4"/>
    </xf>
    <xf numFmtId="0" fontId="2" fillId="3" borderId="8" xfId="0" applyBorder="true" applyFill="true" applyFont="true" applyNumberFormat="true">
      <alignment horizontal="right" wrapText="true" vertical="top" indent="2"/>
    </xf>
    <xf numFmtId="0" fontId="2" fillId="3" borderId="9" xfId="0" applyBorder="true" applyFill="true" applyFont="true" applyNumberFormat="true">
      <alignment horizontal="right" wrapText="true" vertical="top"/>
    </xf>
    <xf numFmtId="0" fontId="2" fillId="3" borderId="15" xfId="0" applyBorder="true" applyFill="true" applyFont="true" applyNumberFormat="true">
      <alignment horizontal="right" wrapText="true" vertical="top"/>
    </xf>
    <xf numFmtId="0" fontId="2" fillId="3" borderId="15" xfId="0" applyBorder="true" applyFill="true" applyFont="true" applyNumberFormat="true">
      <alignment horizontal="right" wrapText="true" vertical="top" indent="2"/>
    </xf>
    <xf numFmtId="0" fontId="2" fillId="3" borderId="15" xfId="0" applyBorder="true" applyFill="true" applyFont="true" applyNumberFormat="true">
      <alignment horizontal="right" wrapText="true" vertical="top" indent="4"/>
    </xf>
    <xf numFmtId="0" fontId="5" fillId="13" borderId="16" xfId="0" applyBorder="true" applyFill="true" applyFont="true" applyNumberFormat="true">
      <alignment horizontal="right"/>
    </xf>
    <xf numFmtId="0" fontId="5" fillId="13" borderId="17" xfId="0" applyBorder="true" applyFill="true" applyFont="true" applyNumberFormat="true">
      <alignment horizontal="right"/>
    </xf>
    <xf numFmtId="49" fontId="5" fillId="7" borderId="14" xfId="0" applyBorder="true" applyFill="true" applyFont="true" applyNumberFormat="true">
      <alignment horizontal="right" vertical="top"/>
    </xf>
    <xf numFmtId="49" fontId="5" fillId="7" borderId="16" xfId="0" applyBorder="true" applyFill="true" applyFont="true" applyNumberFormat="true">
      <alignment horizontal="right" vertical="top"/>
    </xf>
    <xf numFmtId="0" fontId="2" fillId="3" borderId="18" xfId="0" applyBorder="true" applyFill="true" applyFont="true" applyNumberFormat="true">
      <alignment horizontal="right" wrapText="true" vertical="top"/>
    </xf>
    <xf numFmtId="0" fontId="2" fillId="3" borderId="19" xfId="0" applyBorder="true" applyFill="true" applyFont="true" applyNumberFormat="true">
      <alignment horizontal="right" wrapText="true" vertical="top"/>
    </xf>
    <xf numFmtId="0" fontId="5" fillId="13" borderId="20" xfId="0" applyBorder="true" applyFill="true" applyFont="true" applyNumberFormat="true">
      <alignment horizontal="right"/>
    </xf>
    <xf numFmtId="0" fontId="5" fillId="7" borderId="16" xfId="0" applyBorder="true" applyFill="true" applyFont="true" applyNumberFormat="true">
      <alignment horizontal="right" vertical="top"/>
    </xf>
    <xf numFmtId="0" fontId="2" fillId="3" borderId="19" xfId="0" applyBorder="true" applyFill="true" applyFont="true" applyNumberFormat="true">
      <alignment horizontal="right" wrapText="true" vertical="top"/>
    </xf>
    <xf numFmtId="0" fontId="2" fillId="3" borderId="8" xfId="0" applyBorder="true" applyFill="true" applyFont="true" applyNumberFormat="true">
      <alignment horizontal="right" wrapText="true" vertical="top" indent="6"/>
    </xf>
    <xf numFmtId="0" fontId="2" fillId="3" borderId="15" xfId="0" applyBorder="true" applyFill="true" applyFont="true" applyNumberFormat="true">
      <alignment horizontal="right" wrapText="true" vertical="top" indent="6"/>
    </xf>
    <xf numFmtId="1" fontId="5" fillId="7" borderId="14" xfId="0" applyBorder="true" applyFill="true" applyFont="true" applyNumberFormat="true">
      <alignment horizontal="right" vertical="top"/>
    </xf>
    <xf numFmtId="1" fontId="5" fillId="7" borderId="16" xfId="0" applyBorder="true" applyFill="true" applyFont="true" applyNumberFormat="true">
      <alignment horizontal="right" vertical="top"/>
    </xf>
    <xf numFmtId="0" fontId="2" fillId="3" borderId="8" xfId="0" applyBorder="true" applyFill="true" applyFont="true" applyNumberFormat="true">
      <alignment horizontal="right" wrapText="true" vertical="top" indent="8"/>
    </xf>
    <xf numFmtId="0" fontId="2" fillId="3" borderId="15" xfId="0" applyBorder="true" applyFill="true" applyFont="true" applyNumberFormat="true">
      <alignment horizontal="right" wrapText="true" vertical="top" indent="8"/>
    </xf>
    <xf numFmtId="1" fontId="4" fillId="5" borderId="8" xfId="0" applyBorder="true" applyFill="true" applyFont="true" applyNumberFormat="true">
      <alignment horizontal="right" vertical="top"/>
    </xf>
    <xf numFmtId="49" fontId="5" fillId="7" borderId="17" xfId="0" applyBorder="true" applyFill="true" applyFont="true" applyNumberFormat="true">
      <alignment horizontal="right" vertical="top"/>
    </xf>
    <xf numFmtId="49" fontId="5" fillId="7" borderId="20" xfId="0" applyBorder="true" applyFill="true" applyFont="true" applyNumberFormat="true">
      <alignment horizontal="right" vertical="top"/>
    </xf>
    <xf numFmtId="0" fontId="5" fillId="7" borderId="20" xfId="0" applyBorder="true" applyFill="true" applyFont="true" applyNumberFormat="true">
      <alignment horizontal="right" vertical="top"/>
    </xf>
    <xf numFmtId="164" fontId="5" fillId="7" borderId="14" xfId="0" applyBorder="true" applyFill="true" applyFont="true" applyNumberFormat="true">
      <alignment horizontal="right" vertical="top"/>
    </xf>
    <xf numFmtId="164" fontId="5" fillId="7" borderId="20" xfId="0" applyBorder="true" applyFill="true" applyFont="true" applyNumberFormat="true">
      <alignment horizontal="right" vertical="top"/>
    </xf>
    <xf numFmtId="166" fontId="5" fillId="7" borderId="14" xfId="0" applyBorder="true" applyFill="true" applyFont="true" applyNumberFormat="true">
      <alignment horizontal="right" vertical="top"/>
    </xf>
    <xf numFmtId="166" fontId="5" fillId="7" borderId="20" xfId="0" applyBorder="true" applyFill="true" applyFont="true" applyNumberFormat="true">
      <alignment horizontal="right" vertical="top"/>
    </xf>
    <xf numFmtId="0" fontId="0" fillId="0" borderId="0" xfId="0">
      <alignment wrapText="true" horizontal="center"/>
    </xf>
  </cellXfs>
</styleSheet>
</file>

<file path=xl/_rels/workbook.xml.rels><?xml version="1.0" encoding="UTF-8" standalone="no"?><Relationships xmlns="http://schemas.openxmlformats.org/package/2006/relationships"><Relationship Id="rId1" Target="sharedStrings.xml" Type="http://schemas.openxmlformats.org/officeDocument/2006/relationships/sharedStrings"/><Relationship Id="rId10" Target="worksheets/sheet8.xml" Type="http://schemas.openxmlformats.org/officeDocument/2006/relationships/worksheet"/><Relationship Id="rId11" Target="worksheets/sheet9.xml" Type="http://schemas.openxmlformats.org/officeDocument/2006/relationships/worksheet"/><Relationship Id="rId12" Target="worksheets/sheet10.xml" Type="http://schemas.openxmlformats.org/officeDocument/2006/relationships/worksheet"/><Relationship Id="rId13" Target="worksheets/sheet11.xml" Type="http://schemas.openxmlformats.org/officeDocument/2006/relationships/worksheet"/><Relationship Id="rId14" Target="vbaProject.bin" Type="http://schemas.microsoft.com/office/2006/relationships/vbaProject"/><Relationship Id="rId15" Target="worksheets/sheet12.xml" Type="http://schemas.openxmlformats.org/officeDocument/2006/relationships/worksheet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Relationship Id="rId5" Target="worksheets/sheet3.xml" Type="http://schemas.openxmlformats.org/officeDocument/2006/relationships/worksheet"/><Relationship Id="rId6" Target="worksheets/sheet4.xml" Type="http://schemas.openxmlformats.org/officeDocument/2006/relationships/worksheet"/><Relationship Id="rId7" Target="worksheets/sheet5.xml" Type="http://schemas.openxmlformats.org/officeDocument/2006/relationships/worksheet"/><Relationship Id="rId8" Target="worksheets/sheet6.xml" Type="http://schemas.openxmlformats.org/officeDocument/2006/relationships/worksheet"/><Relationship Id="rId9" Target="worksheets/sheet7.xml" Type="http://schemas.openxmlformats.org/officeDocument/2006/relationships/worksheet"/></Relationships>
</file>

<file path=xl/drawings/drawing1.xml><?xml version="1.0" encoding="utf-8"?>
<xdr:wsDr xmlns:xdr="http://schemas.openxmlformats.org/drawingml/2006/spreadsheetDrawing"/>
</file>

<file path=xl/worksheets/_rels/sheet2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Relationship Id="rId2" Target="../comments2.xml" Type="http://schemas.openxmlformats.org/officeDocument/2006/relationships/comments"/><Relationship Id="rId3" Target="../drawings/vmlDrawing1.vml" Type="http://schemas.openxmlformats.org/officeDocument/2006/relationships/vmlDrawing"/></Relationships>
</file>

<file path=xl/worksheets/sheet1.xml><?xml version="1.0" encoding="utf-8"?>
<worksheet xmlns="http://schemas.openxmlformats.org/spreadsheetml/2006/main">
  <dimension ref="A1:C11"/>
  <sheetViews>
    <sheetView workbookViewId="0" tabSelected="true" rightToLeft="true"/>
  </sheetViews>
  <sheetFormatPr defaultRowHeight="15.0"/>
  <sheetData>
    <row r="1">
      <c r="A1" t="s">
        <v>0</v>
      </c>
      <c r="B1" t="s">
        <v>1</v>
      </c>
    </row>
    <row r="2">
      <c r="A2" t="s">
        <v>2</v>
      </c>
      <c r="B2" t="s">
        <v>3</v>
      </c>
    </row>
    <row r="3">
      <c r="A3" t="s">
        <v>4</v>
      </c>
      <c r="B3" t="s">
        <v>5</v>
      </c>
    </row>
    <row r="4">
      <c r="A4" t="s">
        <v>6</v>
      </c>
      <c r="B4" t="s">
        <v>7</v>
      </c>
    </row>
    <row r="5">
      <c r="A5" t="s">
        <v>6</v>
      </c>
      <c r="B5" t="s">
        <v>8</v>
      </c>
    </row>
    <row r="6">
      <c r="A6" t="s">
        <v>6</v>
      </c>
      <c r="B6" t="s">
        <v>9</v>
      </c>
    </row>
    <row r="7">
      <c r="A7" t="s">
        <v>6</v>
      </c>
      <c r="B7" t="s">
        <v>10</v>
      </c>
    </row>
    <row r="8">
      <c r="A8" t="s">
        <v>6</v>
      </c>
      <c r="B8" t="s">
        <v>11</v>
      </c>
    </row>
    <row r="9">
      <c r="A9" t="s">
        <v>6</v>
      </c>
      <c r="B9" t="s">
        <v>12</v>
      </c>
    </row>
    <row r="10">
      <c r="A10" t="s">
        <v>6</v>
      </c>
      <c r="B10" t="s">
        <v>13</v>
      </c>
    </row>
    <row r="11">
      <c r="A11" t="s">
        <v>14</v>
      </c>
      <c r="B11" t="s">
        <v>15</v>
      </c>
    </row>
  </sheetData>
  <sheetProtection password="0000" sheet="true" scenarios="true" objects="true" formatColumns="false" formatRows="false"/>
  <pageMargins bottom="0.75" footer="0.3" header="0.3" left="0.7" right="0.7" top="0.75"/>
</worksheet>
</file>

<file path=xl/worksheets/sheet2.xml><?xml version="1.0" encoding="utf-8"?>
<worksheet xmlns="http://schemas.openxmlformats.org/spreadsheetml/2006/main" xmlns:r="http://schemas.openxmlformats.org/officeDocument/2006/relationships">
  <dimension ref="B1:F2"/>
  <sheetViews>
    <sheetView workbookViewId="0" rightToLeft="true">
      <pane ySplit="1.0" state="frozen" topLeftCell="A2" activePane="bottomLeft"/>
      <selection pane="bottomLeft"/>
    </sheetView>
  </sheetViews>
  <sheetFormatPr defaultRowHeight="15.0"/>
  <cols>
    <col min="2" max="2" width="5.40625" customWidth="true" bestFit="true"/>
    <col min="3" max="3" width="9.82421875" customWidth="true" bestFit="true"/>
    <col min="4" max="4" width="120.0" customWidth="true"/>
    <col min="5" max="5" width="16.4453125" customWidth="true" bestFit="true"/>
  </cols>
  <sheetData>
    <row r="1">
      <c r="B1" s="35" t="s">
        <v>473</v>
      </c>
      <c r="C1" s="35" t="s">
        <v>474</v>
      </c>
      <c r="D1" s="35" t="s">
        <v>475</v>
      </c>
      <c r="E1" s="35" t="s">
        <v>476</v>
      </c>
    </row>
    <row r="2">
      <c r="B2" t="s" s="67">
        <v>477</v>
      </c>
    </row>
  </sheetData>
  <mergeCells>
    <mergeCell ref="B2:E2"/>
  </mergeCells>
  <pageMargins bottom="0.75" footer="0.3" header="0.3" left="0.7" right="0.7" top="0.75"/>
  <drawing r:id="rId1"/>
  <legacyDrawing r:id="rId3"/>
</worksheet>
</file>

<file path=xl/worksheets/sheet3.xml><?xml version="1.0" encoding="utf-8"?>
<worksheet xmlns="http://schemas.openxmlformats.org/spreadsheetml/2006/main">
  <sheetPr>
    <pageSetUpPr fitToPage="true"/>
  </sheetPr>
  <dimension ref="B1:F21"/>
  <sheetViews>
    <sheetView workbookViewId="0" showGridLines="false" rightToLeft="true"/>
  </sheetViews>
  <sheetFormatPr defaultRowHeight="15.0"/>
  <cols>
    <col min="5" max="5" width="12.0" customWidth="true"/>
    <col min="3" max="3" width="80.0" customWidth="true"/>
    <col min="4" max="4" width="12.0" customWidth="true"/>
  </cols>
  <sheetData>
    <row r="1">
      <c r="B1" t="s" s="29">
        <v>16</v>
      </c>
      <c r="C1" t="s" s="28">
        <v>68</v>
      </c>
    </row>
    <row r="2">
      <c r="B2" t="s" s="12">
        <v>17</v>
      </c>
    </row>
    <row r="4">
      <c r="E4" s="3" t="s">
        <v>33</v>
      </c>
    </row>
    <row r="5">
      <c r="E5" s="40" t="s">
        <v>32</v>
      </c>
    </row>
    <row r="6">
      <c r="C6" s="2" t="s">
        <v>55</v>
      </c>
      <c r="E6" s="2" t="s">
        <v>56</v>
      </c>
    </row>
    <row r="7">
      <c r="C7" s="41" t="s">
        <v>33</v>
      </c>
      <c r="D7" s="2" t="s">
        <v>33</v>
      </c>
      <c r="E7" s="45"/>
    </row>
    <row r="8">
      <c r="C8" s="42" t="s">
        <v>47</v>
      </c>
      <c r="D8" s="2" t="s">
        <v>33</v>
      </c>
      <c r="E8" s="44"/>
    </row>
    <row r="9">
      <c r="C9" s="43" t="s">
        <v>34</v>
      </c>
      <c r="D9" s="2" t="s">
        <v>56</v>
      </c>
      <c r="E9" s="47"/>
    </row>
    <row r="10">
      <c r="C10" s="43" t="s">
        <v>37</v>
      </c>
      <c r="D10" s="2" t="s">
        <v>57</v>
      </c>
      <c r="E10" s="47"/>
    </row>
    <row r="11">
      <c r="C11" s="43" t="s">
        <v>39</v>
      </c>
      <c r="D11" s="2" t="s">
        <v>58</v>
      </c>
      <c r="E11" s="47"/>
    </row>
    <row r="12">
      <c r="C12" s="43" t="s">
        <v>41</v>
      </c>
      <c r="D12" s="2" t="s">
        <v>59</v>
      </c>
      <c r="E12" s="47"/>
    </row>
    <row r="13">
      <c r="C13" s="43" t="s">
        <v>43</v>
      </c>
      <c r="D13" s="2" t="s">
        <v>60</v>
      </c>
      <c r="E13" s="47"/>
    </row>
    <row r="14">
      <c r="C14" s="43" t="s">
        <v>45</v>
      </c>
      <c r="D14" s="2" t="s">
        <v>61</v>
      </c>
      <c r="E14" s="47"/>
    </row>
    <row r="15">
      <c r="C15" s="42" t="s">
        <v>54</v>
      </c>
      <c r="D15" s="2" t="s">
        <v>33</v>
      </c>
      <c r="E15" s="44"/>
    </row>
    <row r="16">
      <c r="C16" s="43" t="s">
        <v>34</v>
      </c>
      <c r="D16" s="2" t="s">
        <v>62</v>
      </c>
      <c r="E16" s="47"/>
    </row>
    <row r="17">
      <c r="C17" s="43" t="s">
        <v>37</v>
      </c>
      <c r="D17" s="2" t="s">
        <v>63</v>
      </c>
      <c r="E17" s="47"/>
    </row>
    <row r="18">
      <c r="C18" s="43" t="s">
        <v>39</v>
      </c>
      <c r="D18" s="2" t="s">
        <v>64</v>
      </c>
      <c r="E18" s="47"/>
    </row>
    <row r="19">
      <c r="C19" s="43" t="s">
        <v>41</v>
      </c>
      <c r="D19" s="2" t="s">
        <v>65</v>
      </c>
      <c r="E19" s="47"/>
    </row>
    <row r="20">
      <c r="C20" s="43" t="s">
        <v>43</v>
      </c>
      <c r="D20" s="2" t="s">
        <v>66</v>
      </c>
      <c r="E20" s="47"/>
    </row>
    <row r="21">
      <c r="C21" s="43" t="s">
        <v>45</v>
      </c>
      <c r="D21" s="2" t="s">
        <v>67</v>
      </c>
      <c r="E21" s="47"/>
    </row>
  </sheetData>
  <sheetProtection password="0000" sheet="true" scenarios="true" objects="true" formatColumns="false" formatRows="false"/>
  <protectedRanges>
    <protectedRange name="unlocked_Sheet2_Table0" sqref="E9:E14 E16:E21"/>
  </protectedRanges>
  <mergeCells>
    <mergeCell ref="B2:C2"/>
    <mergeCell ref="C1:K1"/>
  </mergeCells>
  <pageMargins bottom="0.75" footer="0.3" header="0.3" left="0.7" right="0.7" top="0.75"/>
  <pageSetup orientation="landscape" fitToWidth="1" fitToHeight="0"/>
  <ignoredErrors>
    <ignoredError sqref="E6" numberStoredAsText="true"/>
    <ignoredError sqref="D9" numberStoredAsText="true"/>
    <ignoredError sqref="D10" numberStoredAsText="true"/>
    <ignoredError sqref="D11" numberStoredAsText="true"/>
    <ignoredError sqref="D12" numberStoredAsText="true"/>
    <ignoredError sqref="D13" numberStoredAsText="true"/>
    <ignoredError sqref="D14" numberStoredAsText="true"/>
    <ignoredError sqref="D16" numberStoredAsText="true"/>
    <ignoredError sqref="D17" numberStoredAsText="true"/>
    <ignoredError sqref="D18" numberStoredAsText="true"/>
    <ignoredError sqref="D19" numberStoredAsText="true"/>
    <ignoredError sqref="D20" numberStoredAsText="true"/>
    <ignoredError sqref="D21" numberStoredAsText="true"/>
  </ignoredErrors>
</worksheet>
</file>

<file path=xl/worksheets/sheet4.xml><?xml version="1.0" encoding="utf-8"?>
<worksheet xmlns="http://schemas.openxmlformats.org/spreadsheetml/2006/main">
  <dimension ref="A1:Q179"/>
  <sheetViews>
    <sheetView workbookViewId="0" showFormulas="true" rightToLeft="true">
      <pane xSplit="1.0" ySplit="1.0" state="frozen" topLeftCell="B2" activePane="bottomRight"/>
      <selection pane="bottomRight"/>
    </sheetView>
  </sheetViews>
  <sheetFormatPr defaultRowHeight="15.0"/>
  <sheetData>
    <row r="1">
      <c r="B1" t="s">
        <v>18</v>
      </c>
      <c r="C1" t="s">
        <v>19</v>
      </c>
      <c r="D1" t="s">
        <v>20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29</v>
      </c>
      <c r="K1" t="s">
        <v>83</v>
      </c>
      <c r="L1" t="s">
        <v>175</v>
      </c>
      <c r="M1" t="s">
        <v>178</v>
      </c>
      <c r="N1" t="s">
        <v>189</v>
      </c>
      <c r="O1" t="s">
        <v>235</v>
      </c>
      <c r="P1" t="s">
        <v>378</v>
      </c>
    </row>
    <row r="2">
      <c r="A2">
        <f>'Cell Metadata TNFC Internal'!C:C 'Cell Metadata TNFC Internal'!2:2</f>
      </c>
      <c r="B2" t="s" s="37">
        <v>28</v>
      </c>
      <c r="C2" t="s" s="37">
        <v>31</v>
      </c>
      <c r="D2" t="s" s="37">
        <v>21</v>
      </c>
      <c r="E2" t="b">
        <v>1</v>
      </c>
      <c r="F2" t="b">
        <v>0</v>
      </c>
      <c r="G2" t="n">
        <v>0.0</v>
      </c>
      <c r="H2" t="n">
        <v>0.0</v>
      </c>
      <c r="I2" t="s" s="37">
        <v>27</v>
      </c>
      <c r="J2" t="s" s="37">
        <v>30</v>
      </c>
    </row>
    <row r="3">
      <c r="A3">
        <f>'868-0'!C9:C10</f>
      </c>
      <c r="B3" t="s" s="37">
        <v>36</v>
      </c>
      <c r="D3" t="s" s="37">
        <v>35</v>
      </c>
      <c r="E3" t="b">
        <v>1</v>
      </c>
      <c r="F3" t="b">
        <v>0</v>
      </c>
      <c r="G3" t="n">
        <v>0.0</v>
      </c>
      <c r="H3" t="n">
        <v>0.0</v>
      </c>
      <c r="I3" t="s" s="37">
        <v>27</v>
      </c>
    </row>
    <row r="4">
      <c r="A4">
        <f>'868-0'!C10:C11</f>
      </c>
      <c r="B4" t="s" s="37">
        <v>38</v>
      </c>
      <c r="D4" t="s" s="37">
        <v>35</v>
      </c>
      <c r="E4" t="b">
        <v>1</v>
      </c>
      <c r="F4" t="b">
        <v>0</v>
      </c>
      <c r="G4" t="n">
        <v>0.0</v>
      </c>
      <c r="H4" t="n">
        <v>0.0</v>
      </c>
      <c r="I4" t="s" s="37">
        <v>27</v>
      </c>
    </row>
    <row r="5">
      <c r="A5">
        <f>'868-0'!C11:C12</f>
      </c>
      <c r="B5" t="s" s="37">
        <v>40</v>
      </c>
      <c r="D5" t="s" s="37">
        <v>35</v>
      </c>
      <c r="E5" t="b">
        <v>1</v>
      </c>
      <c r="F5" t="b">
        <v>0</v>
      </c>
      <c r="G5" t="n">
        <v>0.0</v>
      </c>
      <c r="H5" t="n">
        <v>0.0</v>
      </c>
      <c r="I5" t="s" s="37">
        <v>27</v>
      </c>
    </row>
    <row r="6">
      <c r="A6">
        <f>'868-0'!C12:C13</f>
      </c>
      <c r="B6" t="s" s="37">
        <v>42</v>
      </c>
      <c r="D6" t="s" s="37">
        <v>35</v>
      </c>
      <c r="E6" t="b">
        <v>1</v>
      </c>
      <c r="F6" t="b">
        <v>0</v>
      </c>
      <c r="G6" t="n">
        <v>0.0</v>
      </c>
      <c r="H6" t="n">
        <v>0.0</v>
      </c>
      <c r="I6" t="s" s="37">
        <v>27</v>
      </c>
    </row>
    <row r="7">
      <c r="A7">
        <f>'868-0'!C13:C14</f>
      </c>
      <c r="B7" t="s" s="37">
        <v>44</v>
      </c>
      <c r="D7" t="s" s="37">
        <v>35</v>
      </c>
      <c r="E7" t="b">
        <v>1</v>
      </c>
      <c r="F7" t="b">
        <v>0</v>
      </c>
      <c r="G7" t="n">
        <v>0.0</v>
      </c>
      <c r="H7" t="n">
        <v>0.0</v>
      </c>
      <c r="I7" t="s" s="37">
        <v>27</v>
      </c>
    </row>
    <row r="8">
      <c r="A8">
        <f>'868-0'!C14:C15</f>
      </c>
      <c r="B8" t="s" s="37">
        <v>46</v>
      </c>
      <c r="D8" t="s" s="37">
        <v>35</v>
      </c>
      <c r="E8" t="b">
        <v>1</v>
      </c>
      <c r="F8" t="b">
        <v>0</v>
      </c>
      <c r="G8" t="n">
        <v>0.0</v>
      </c>
      <c r="H8" t="n">
        <v>0.0</v>
      </c>
      <c r="I8" t="s" s="37">
        <v>27</v>
      </c>
    </row>
    <row r="9">
      <c r="A9">
        <f>'868-0'!C16:C17</f>
      </c>
      <c r="B9" t="s" s="37">
        <v>48</v>
      </c>
      <c r="D9" t="s" s="37">
        <v>35</v>
      </c>
      <c r="E9" t="b">
        <v>1</v>
      </c>
      <c r="F9" t="b">
        <v>0</v>
      </c>
      <c r="G9" t="n">
        <v>0.0</v>
      </c>
      <c r="H9" t="n">
        <v>0.0</v>
      </c>
      <c r="I9" t="s" s="37">
        <v>27</v>
      </c>
    </row>
    <row r="10">
      <c r="A10">
        <f>'868-0'!C17:C18</f>
      </c>
      <c r="B10" t="s" s="37">
        <v>49</v>
      </c>
      <c r="D10" t="s" s="37">
        <v>35</v>
      </c>
      <c r="E10" t="b">
        <v>1</v>
      </c>
      <c r="F10" t="b">
        <v>0</v>
      </c>
      <c r="G10" t="n">
        <v>0.0</v>
      </c>
      <c r="H10" t="n">
        <v>0.0</v>
      </c>
      <c r="I10" t="s" s="37">
        <v>27</v>
      </c>
    </row>
    <row r="11">
      <c r="A11">
        <f>'868-0'!C18:C19</f>
      </c>
      <c r="B11" t="s" s="37">
        <v>50</v>
      </c>
      <c r="D11" t="s" s="37">
        <v>35</v>
      </c>
      <c r="E11" t="b">
        <v>1</v>
      </c>
      <c r="F11" t="b">
        <v>0</v>
      </c>
      <c r="G11" t="n">
        <v>0.0</v>
      </c>
      <c r="H11" t="n">
        <v>0.0</v>
      </c>
      <c r="I11" t="s" s="37">
        <v>27</v>
      </c>
    </row>
    <row r="12">
      <c r="A12">
        <f>'868-0'!C19:C20</f>
      </c>
      <c r="B12" t="s" s="37">
        <v>51</v>
      </c>
      <c r="D12" t="s" s="37">
        <v>35</v>
      </c>
      <c r="E12" t="b">
        <v>1</v>
      </c>
      <c r="F12" t="b">
        <v>0</v>
      </c>
      <c r="G12" t="n">
        <v>0.0</v>
      </c>
      <c r="H12" t="n">
        <v>0.0</v>
      </c>
      <c r="I12" t="s" s="37">
        <v>27</v>
      </c>
    </row>
    <row r="13">
      <c r="A13">
        <f>'868-0'!C20:C21</f>
      </c>
      <c r="B13" t="s" s="37">
        <v>52</v>
      </c>
      <c r="D13" t="s" s="37">
        <v>35</v>
      </c>
      <c r="E13" t="b">
        <v>1</v>
      </c>
      <c r="F13" t="b">
        <v>0</v>
      </c>
      <c r="G13" t="n">
        <v>0.0</v>
      </c>
      <c r="H13" t="n">
        <v>0.0</v>
      </c>
      <c r="I13" t="s" s="37">
        <v>27</v>
      </c>
    </row>
    <row r="14">
      <c r="A14">
        <f>'868-0'!C21:C22</f>
      </c>
      <c r="B14" t="s" s="37">
        <v>53</v>
      </c>
      <c r="D14" t="s" s="37">
        <v>35</v>
      </c>
      <c r="E14" t="b">
        <v>1</v>
      </c>
      <c r="F14" t="b">
        <v>0</v>
      </c>
      <c r="G14" t="n">
        <v>0.0</v>
      </c>
      <c r="H14" t="n">
        <v>0.0</v>
      </c>
      <c r="I14" t="s" s="37">
        <v>27</v>
      </c>
    </row>
    <row r="15">
      <c r="A15">
        <f>'Cell Metadata TNFC Internal'!C:C 'Cell Metadata TNFC Internal'!15:15</f>
      </c>
      <c r="B15" t="s" s="37">
        <v>28</v>
      </c>
      <c r="C15" t="s" s="37">
        <v>71</v>
      </c>
      <c r="D15" t="s" s="37">
        <v>21</v>
      </c>
      <c r="E15" t="b">
        <v>1</v>
      </c>
      <c r="F15" t="b">
        <v>0</v>
      </c>
      <c r="G15" t="n">
        <v>0.0</v>
      </c>
      <c r="H15" t="n">
        <v>0.0</v>
      </c>
      <c r="I15" t="s" s="37">
        <v>70</v>
      </c>
      <c r="J15" t="s" s="37">
        <v>30</v>
      </c>
    </row>
    <row r="16">
      <c r="A16">
        <f>'868-1'!E5:F5</f>
      </c>
      <c r="B16" t="s" s="37">
        <v>74</v>
      </c>
      <c r="D16" t="s" s="37">
        <v>73</v>
      </c>
      <c r="E16" t="b">
        <v>1</v>
      </c>
      <c r="F16" t="b">
        <v>0</v>
      </c>
      <c r="G16" t="n">
        <v>0.0</v>
      </c>
      <c r="H16" t="n">
        <v>0.0</v>
      </c>
      <c r="I16" t="s" s="37">
        <v>70</v>
      </c>
    </row>
    <row r="17">
      <c r="A17">
        <f>'868-1'!F6:G6</f>
      </c>
      <c r="B17" t="s" s="37">
        <v>76</v>
      </c>
      <c r="D17" t="s" s="37">
        <v>73</v>
      </c>
      <c r="E17" t="b">
        <v>1</v>
      </c>
      <c r="F17" t="b">
        <v>0</v>
      </c>
      <c r="G17" t="n">
        <v>0.0</v>
      </c>
      <c r="H17" t="n">
        <v>0.0</v>
      </c>
      <c r="I17" t="s" s="37">
        <v>70</v>
      </c>
    </row>
    <row r="18">
      <c r="A18">
        <f>'868-1'!G6:H6</f>
      </c>
      <c r="B18" t="s" s="37">
        <v>78</v>
      </c>
      <c r="D18" t="s" s="37">
        <v>73</v>
      </c>
      <c r="E18" t="b">
        <v>1</v>
      </c>
      <c r="F18" t="b">
        <v>0</v>
      </c>
      <c r="G18" t="n">
        <v>0.0</v>
      </c>
      <c r="H18" t="n">
        <v>0.0</v>
      </c>
      <c r="I18" t="s" s="37">
        <v>70</v>
      </c>
    </row>
    <row r="19">
      <c r="A19">
        <f>'868-1'!H6:I6</f>
      </c>
      <c r="B19" t="s" s="37">
        <v>80</v>
      </c>
      <c r="D19" t="s" s="37">
        <v>73</v>
      </c>
      <c r="E19" t="b">
        <v>1</v>
      </c>
      <c r="F19" t="b">
        <v>0</v>
      </c>
      <c r="G19" t="n">
        <v>0.0</v>
      </c>
      <c r="H19" t="n">
        <v>0.0</v>
      </c>
      <c r="I19" t="s" s="37">
        <v>70</v>
      </c>
    </row>
    <row r="20">
      <c r="A20">
        <f>'868-1'!C10:C11</f>
      </c>
      <c r="D20" t="s" s="37">
        <v>35</v>
      </c>
      <c r="E20" t="b">
        <v>1</v>
      </c>
      <c r="F20" t="b">
        <v>0</v>
      </c>
      <c r="G20" t="n">
        <v>0.0</v>
      </c>
      <c r="H20" t="n">
        <v>0.0</v>
      </c>
      <c r="I20" t="s" s="37">
        <v>70</v>
      </c>
      <c r="K20" t="s" s="37">
        <v>84</v>
      </c>
    </row>
    <row r="21">
      <c r="A21">
        <f>'868-1'!C11:C12</f>
      </c>
      <c r="D21" t="s" s="37">
        <v>35</v>
      </c>
      <c r="E21" t="b">
        <v>1</v>
      </c>
      <c r="F21" t="b">
        <v>0</v>
      </c>
      <c r="G21" t="n">
        <v>0.0</v>
      </c>
      <c r="H21" t="n">
        <v>0.0</v>
      </c>
      <c r="I21" t="s" s="37">
        <v>70</v>
      </c>
      <c r="K21" t="s" s="37">
        <v>86</v>
      </c>
    </row>
    <row r="22">
      <c r="A22">
        <f>'Cell Metadata TNFC Internal'!C:C 'Cell Metadata TNFC Internal'!22:22</f>
      </c>
      <c r="B22" t="s" s="37">
        <v>28</v>
      </c>
      <c r="C22" t="s" s="37">
        <v>91</v>
      </c>
      <c r="D22" t="s" s="37">
        <v>21</v>
      </c>
      <c r="E22" t="b">
        <v>1</v>
      </c>
      <c r="F22" t="b">
        <v>0</v>
      </c>
      <c r="G22" t="n">
        <v>0.0</v>
      </c>
      <c r="H22" t="n">
        <v>0.0</v>
      </c>
      <c r="I22" t="s" s="37">
        <v>90</v>
      </c>
      <c r="J22" t="s" s="37">
        <v>30</v>
      </c>
    </row>
    <row r="23">
      <c r="A23">
        <f>'868-2'!F7:G7</f>
      </c>
      <c r="D23" t="s" s="37">
        <v>73</v>
      </c>
      <c r="E23" t="b">
        <v>1</v>
      </c>
      <c r="F23" t="b">
        <v>0</v>
      </c>
      <c r="G23" t="n">
        <v>0.0</v>
      </c>
      <c r="H23" t="n">
        <v>0.0</v>
      </c>
      <c r="I23" t="s" s="37">
        <v>90</v>
      </c>
      <c r="K23" t="s" s="37">
        <v>93</v>
      </c>
    </row>
    <row r="24">
      <c r="A24">
        <f>'868-2'!G7:H7</f>
      </c>
      <c r="D24" t="s" s="37">
        <v>73</v>
      </c>
      <c r="E24" t="b">
        <v>1</v>
      </c>
      <c r="F24" t="b">
        <v>0</v>
      </c>
      <c r="G24" t="n">
        <v>0.0</v>
      </c>
      <c r="H24" t="n">
        <v>0.0</v>
      </c>
      <c r="I24" t="s" s="37">
        <v>90</v>
      </c>
      <c r="K24" t="s" s="37">
        <v>95</v>
      </c>
    </row>
    <row r="25">
      <c r="A25">
        <f>'868-2'!H7:I7</f>
      </c>
      <c r="D25" t="s" s="37">
        <v>73</v>
      </c>
      <c r="E25" t="b">
        <v>1</v>
      </c>
      <c r="F25" t="b">
        <v>0</v>
      </c>
      <c r="G25" t="n">
        <v>0.0</v>
      </c>
      <c r="H25" t="n">
        <v>0.0</v>
      </c>
      <c r="I25" t="s" s="37">
        <v>90</v>
      </c>
      <c r="K25" t="s" s="37">
        <v>97</v>
      </c>
    </row>
    <row r="26">
      <c r="A26">
        <f>'868-2'!I7:J7</f>
      </c>
      <c r="D26" t="s" s="37">
        <v>73</v>
      </c>
      <c r="E26" t="b">
        <v>1</v>
      </c>
      <c r="F26" t="b">
        <v>0</v>
      </c>
      <c r="G26" t="n">
        <v>0.0</v>
      </c>
      <c r="H26" t="n">
        <v>0.0</v>
      </c>
      <c r="I26" t="s" s="37">
        <v>90</v>
      </c>
      <c r="K26" t="s" s="37">
        <v>99</v>
      </c>
    </row>
    <row r="27">
      <c r="A27">
        <f>'868-2'!J7:K7</f>
      </c>
      <c r="D27" t="s" s="37">
        <v>73</v>
      </c>
      <c r="E27" t="b">
        <v>1</v>
      </c>
      <c r="F27" t="b">
        <v>0</v>
      </c>
      <c r="G27" t="n">
        <v>0.0</v>
      </c>
      <c r="H27" t="n">
        <v>0.0</v>
      </c>
      <c r="I27" t="s" s="37">
        <v>90</v>
      </c>
      <c r="K27" t="s" s="37">
        <v>101</v>
      </c>
    </row>
    <row r="28">
      <c r="A28">
        <f>'868-2'!K8:L8</f>
      </c>
      <c r="D28" t="s" s="37">
        <v>73</v>
      </c>
      <c r="E28" t="b">
        <v>1</v>
      </c>
      <c r="F28" t="b">
        <v>0</v>
      </c>
      <c r="G28" t="n">
        <v>0.0</v>
      </c>
      <c r="H28" t="n">
        <v>0.0</v>
      </c>
      <c r="I28" t="s" s="37">
        <v>90</v>
      </c>
      <c r="K28" t="s" s="37">
        <v>104</v>
      </c>
    </row>
    <row r="29">
      <c r="A29">
        <f>'868-2'!L8:M8</f>
      </c>
      <c r="D29" t="s" s="37">
        <v>73</v>
      </c>
      <c r="E29" t="b">
        <v>1</v>
      </c>
      <c r="F29" t="b">
        <v>0</v>
      </c>
      <c r="G29" t="n">
        <v>0.0</v>
      </c>
      <c r="H29" t="n">
        <v>0.0</v>
      </c>
      <c r="I29" t="s" s="37">
        <v>90</v>
      </c>
      <c r="K29" t="s" s="37">
        <v>106</v>
      </c>
    </row>
    <row r="30">
      <c r="A30">
        <f>'868-2'!M8:N8</f>
      </c>
      <c r="D30" t="s" s="37">
        <v>73</v>
      </c>
      <c r="E30" t="b">
        <v>1</v>
      </c>
      <c r="F30" t="b">
        <v>0</v>
      </c>
      <c r="G30" t="n">
        <v>0.0</v>
      </c>
      <c r="H30" t="n">
        <v>0.0</v>
      </c>
      <c r="I30" t="s" s="37">
        <v>90</v>
      </c>
      <c r="K30" t="s" s="37">
        <v>108</v>
      </c>
    </row>
    <row r="31">
      <c r="A31">
        <f>'868-2'!N8:O8</f>
      </c>
      <c r="D31" t="s" s="37">
        <v>73</v>
      </c>
      <c r="E31" t="b">
        <v>1</v>
      </c>
      <c r="F31" t="b">
        <v>0</v>
      </c>
      <c r="G31" t="n">
        <v>0.0</v>
      </c>
      <c r="H31" t="n">
        <v>0.0</v>
      </c>
      <c r="I31" t="s" s="37">
        <v>90</v>
      </c>
      <c r="K31" t="s" s="37">
        <v>110</v>
      </c>
    </row>
    <row r="32">
      <c r="A32">
        <f>'868-2'!O8:P8</f>
      </c>
      <c r="D32" t="s" s="37">
        <v>73</v>
      </c>
      <c r="E32" t="b">
        <v>1</v>
      </c>
      <c r="F32" t="b">
        <v>0</v>
      </c>
      <c r="G32" t="n">
        <v>0.0</v>
      </c>
      <c r="H32" t="n">
        <v>0.0</v>
      </c>
      <c r="I32" t="s" s="37">
        <v>90</v>
      </c>
      <c r="K32" t="s" s="37">
        <v>112</v>
      </c>
    </row>
    <row r="33">
      <c r="A33">
        <f>'868-2'!P8:Q8</f>
      </c>
      <c r="D33" t="s" s="37">
        <v>73</v>
      </c>
      <c r="E33" t="b">
        <v>1</v>
      </c>
      <c r="F33" t="b">
        <v>0</v>
      </c>
      <c r="G33" t="n">
        <v>0.0</v>
      </c>
      <c r="H33" t="n">
        <v>0.0</v>
      </c>
      <c r="I33" t="s" s="37">
        <v>90</v>
      </c>
      <c r="K33" t="s" s="37">
        <v>114</v>
      </c>
    </row>
    <row r="34">
      <c r="A34">
        <f>'868-2'!Q8:R8</f>
      </c>
      <c r="D34" t="s" s="37">
        <v>73</v>
      </c>
      <c r="E34" t="b">
        <v>1</v>
      </c>
      <c r="F34" t="b">
        <v>0</v>
      </c>
      <c r="G34" t="n">
        <v>0.0</v>
      </c>
      <c r="H34" t="n">
        <v>0.0</v>
      </c>
      <c r="I34" t="s" s="37">
        <v>90</v>
      </c>
      <c r="K34" t="s" s="37">
        <v>116</v>
      </c>
    </row>
    <row r="35">
      <c r="A35">
        <f>'868-2'!R8:S8</f>
      </c>
      <c r="D35" t="s" s="37">
        <v>73</v>
      </c>
      <c r="E35" t="b">
        <v>1</v>
      </c>
      <c r="F35" t="b">
        <v>0</v>
      </c>
      <c r="G35" t="n">
        <v>0.0</v>
      </c>
      <c r="H35" t="n">
        <v>0.0</v>
      </c>
      <c r="I35" t="s" s="37">
        <v>90</v>
      </c>
      <c r="K35" t="s" s="37">
        <v>118</v>
      </c>
    </row>
    <row r="36">
      <c r="A36">
        <f>'868-2'!S8:T8</f>
      </c>
      <c r="D36" t="s" s="37">
        <v>73</v>
      </c>
      <c r="E36" t="b">
        <v>1</v>
      </c>
      <c r="F36" t="b">
        <v>0</v>
      </c>
      <c r="G36" t="n">
        <v>0.0</v>
      </c>
      <c r="H36" t="n">
        <v>0.0</v>
      </c>
      <c r="I36" t="s" s="37">
        <v>90</v>
      </c>
      <c r="K36" t="s" s="37">
        <v>121</v>
      </c>
    </row>
    <row r="37">
      <c r="A37">
        <f>'868-2'!T8:U8</f>
      </c>
      <c r="D37" t="s" s="37">
        <v>73</v>
      </c>
      <c r="E37" t="b">
        <v>1</v>
      </c>
      <c r="F37" t="b">
        <v>0</v>
      </c>
      <c r="G37" t="n">
        <v>0.0</v>
      </c>
      <c r="H37" t="n">
        <v>0.0</v>
      </c>
      <c r="I37" t="s" s="37">
        <v>90</v>
      </c>
      <c r="K37" t="s" s="37">
        <v>123</v>
      </c>
    </row>
    <row r="38">
      <c r="A38">
        <f>'868-2'!U8:V8</f>
      </c>
      <c r="D38" t="s" s="37">
        <v>73</v>
      </c>
      <c r="E38" t="b">
        <v>1</v>
      </c>
      <c r="F38" t="b">
        <v>0</v>
      </c>
      <c r="G38" t="n">
        <v>0.0</v>
      </c>
      <c r="H38" t="n">
        <v>0.0</v>
      </c>
      <c r="I38" t="s" s="37">
        <v>90</v>
      </c>
      <c r="K38" t="s" s="37">
        <v>125</v>
      </c>
    </row>
    <row r="39">
      <c r="A39">
        <f>'868-2'!V8:W8</f>
      </c>
      <c r="D39" t="s" s="37">
        <v>73</v>
      </c>
      <c r="E39" t="b">
        <v>1</v>
      </c>
      <c r="F39" t="b">
        <v>0</v>
      </c>
      <c r="G39" t="n">
        <v>0.0</v>
      </c>
      <c r="H39" t="n">
        <v>0.0</v>
      </c>
      <c r="I39" t="s" s="37">
        <v>90</v>
      </c>
      <c r="K39" t="s" s="37">
        <v>127</v>
      </c>
    </row>
    <row r="40">
      <c r="A40">
        <f>'868-2'!W8:X8</f>
      </c>
      <c r="D40" t="s" s="37">
        <v>73</v>
      </c>
      <c r="E40" t="b">
        <v>1</v>
      </c>
      <c r="F40" t="b">
        <v>0</v>
      </c>
      <c r="G40" t="n">
        <v>0.0</v>
      </c>
      <c r="H40" t="n">
        <v>0.0</v>
      </c>
      <c r="I40" t="s" s="37">
        <v>90</v>
      </c>
      <c r="K40" t="s" s="37">
        <v>130</v>
      </c>
    </row>
    <row r="41">
      <c r="A41">
        <f>'868-2'!X8:Y8</f>
      </c>
      <c r="D41" t="s" s="37">
        <v>73</v>
      </c>
      <c r="E41" t="b">
        <v>1</v>
      </c>
      <c r="F41" t="b">
        <v>0</v>
      </c>
      <c r="G41" t="n">
        <v>0.0</v>
      </c>
      <c r="H41" t="n">
        <v>0.0</v>
      </c>
      <c r="I41" t="s" s="37">
        <v>90</v>
      </c>
      <c r="K41" t="s" s="37">
        <v>132</v>
      </c>
    </row>
    <row r="42">
      <c r="A42">
        <f>'868-2'!Y8:Z8</f>
      </c>
      <c r="D42" t="s" s="37">
        <v>73</v>
      </c>
      <c r="E42" t="b">
        <v>1</v>
      </c>
      <c r="F42" t="b">
        <v>0</v>
      </c>
      <c r="G42" t="n">
        <v>0.0</v>
      </c>
      <c r="H42" t="n">
        <v>0.0</v>
      </c>
      <c r="I42" t="s" s="37">
        <v>90</v>
      </c>
      <c r="K42" t="s" s="37">
        <v>134</v>
      </c>
    </row>
    <row r="43">
      <c r="A43">
        <f>'868-2'!Z8:AA8</f>
      </c>
      <c r="D43" t="s" s="37">
        <v>73</v>
      </c>
      <c r="E43" t="b">
        <v>1</v>
      </c>
      <c r="F43" t="b">
        <v>0</v>
      </c>
      <c r="G43" t="n">
        <v>0.0</v>
      </c>
      <c r="H43" t="n">
        <v>0.0</v>
      </c>
      <c r="I43" t="s" s="37">
        <v>90</v>
      </c>
      <c r="K43" t="s" s="37">
        <v>136</v>
      </c>
    </row>
    <row r="44">
      <c r="A44">
        <f>'868-2'!AA8:AB8</f>
      </c>
      <c r="D44" t="s" s="37">
        <v>73</v>
      </c>
      <c r="E44" t="b">
        <v>1</v>
      </c>
      <c r="F44" t="b">
        <v>0</v>
      </c>
      <c r="G44" t="n">
        <v>0.0</v>
      </c>
      <c r="H44" t="n">
        <v>0.0</v>
      </c>
      <c r="I44" t="s" s="37">
        <v>90</v>
      </c>
      <c r="K44" t="s" s="37">
        <v>139</v>
      </c>
    </row>
    <row r="45">
      <c r="A45">
        <f>'868-2'!AB8:AC8</f>
      </c>
      <c r="D45" t="s" s="37">
        <v>73</v>
      </c>
      <c r="E45" t="b">
        <v>1</v>
      </c>
      <c r="F45" t="b">
        <v>0</v>
      </c>
      <c r="G45" t="n">
        <v>0.0</v>
      </c>
      <c r="H45" t="n">
        <v>0.0</v>
      </c>
      <c r="I45" t="s" s="37">
        <v>90</v>
      </c>
      <c r="K45" t="s" s="37">
        <v>141</v>
      </c>
    </row>
    <row r="46">
      <c r="A46">
        <f>'868-2'!AC8:AD8</f>
      </c>
      <c r="D46" t="s" s="37">
        <v>73</v>
      </c>
      <c r="E46" t="b">
        <v>1</v>
      </c>
      <c r="F46" t="b">
        <v>0</v>
      </c>
      <c r="G46" t="n">
        <v>0.0</v>
      </c>
      <c r="H46" t="n">
        <v>0.0</v>
      </c>
      <c r="I46" t="s" s="37">
        <v>90</v>
      </c>
      <c r="K46" t="s" s="37">
        <v>143</v>
      </c>
    </row>
    <row r="47">
      <c r="A47">
        <f>'868-2'!AD8:AE8</f>
      </c>
      <c r="D47" t="s" s="37">
        <v>73</v>
      </c>
      <c r="E47" t="b">
        <v>1</v>
      </c>
      <c r="F47" t="b">
        <v>0</v>
      </c>
      <c r="G47" t="n">
        <v>0.0</v>
      </c>
      <c r="H47" t="n">
        <v>0.0</v>
      </c>
      <c r="I47" t="s" s="37">
        <v>90</v>
      </c>
      <c r="K47" t="s" s="37">
        <v>145</v>
      </c>
    </row>
    <row r="48">
      <c r="A48">
        <f>'868-2'!AE8:AF8</f>
      </c>
      <c r="D48" t="s" s="37">
        <v>73</v>
      </c>
      <c r="E48" t="b">
        <v>1</v>
      </c>
      <c r="F48" t="b">
        <v>0</v>
      </c>
      <c r="G48" t="n">
        <v>0.0</v>
      </c>
      <c r="H48" t="n">
        <v>0.0</v>
      </c>
      <c r="I48" t="s" s="37">
        <v>90</v>
      </c>
      <c r="K48" t="s" s="37">
        <v>148</v>
      </c>
    </row>
    <row r="49">
      <c r="A49">
        <f>'868-2'!AF8:AG8</f>
      </c>
      <c r="D49" t="s" s="37">
        <v>73</v>
      </c>
      <c r="E49" t="b">
        <v>1</v>
      </c>
      <c r="F49" t="b">
        <v>0</v>
      </c>
      <c r="G49" t="n">
        <v>0.0</v>
      </c>
      <c r="H49" t="n">
        <v>0.0</v>
      </c>
      <c r="I49" t="s" s="37">
        <v>90</v>
      </c>
      <c r="K49" t="s" s="37">
        <v>150</v>
      </c>
    </row>
    <row r="50">
      <c r="A50">
        <f>'868-2'!AG8:AH8</f>
      </c>
      <c r="D50" t="s" s="37">
        <v>73</v>
      </c>
      <c r="E50" t="b">
        <v>1</v>
      </c>
      <c r="F50" t="b">
        <v>0</v>
      </c>
      <c r="G50" t="n">
        <v>0.0</v>
      </c>
      <c r="H50" t="n">
        <v>0.0</v>
      </c>
      <c r="I50" t="s" s="37">
        <v>90</v>
      </c>
      <c r="K50" t="s" s="37">
        <v>152</v>
      </c>
    </row>
    <row r="51">
      <c r="A51">
        <f>'868-2'!AH8:AI8</f>
      </c>
      <c r="D51" t="s" s="37">
        <v>73</v>
      </c>
      <c r="E51" t="b">
        <v>1</v>
      </c>
      <c r="F51" t="b">
        <v>0</v>
      </c>
      <c r="G51" t="n">
        <v>0.0</v>
      </c>
      <c r="H51" t="n">
        <v>0.0</v>
      </c>
      <c r="I51" t="s" s="37">
        <v>90</v>
      </c>
      <c r="K51" t="s" s="37">
        <v>154</v>
      </c>
    </row>
    <row r="52">
      <c r="A52">
        <f>'868-2'!AI8:AJ8</f>
      </c>
      <c r="D52" t="s" s="37">
        <v>73</v>
      </c>
      <c r="E52" t="b">
        <v>1</v>
      </c>
      <c r="F52" t="b">
        <v>0</v>
      </c>
      <c r="G52" t="n">
        <v>0.0</v>
      </c>
      <c r="H52" t="n">
        <v>0.0</v>
      </c>
      <c r="I52" t="s" s="37">
        <v>90</v>
      </c>
      <c r="K52" t="s" s="37">
        <v>156</v>
      </c>
    </row>
    <row r="53">
      <c r="A53">
        <f>'868-2'!AJ8:AK8</f>
      </c>
      <c r="D53" t="s" s="37">
        <v>73</v>
      </c>
      <c r="E53" t="b">
        <v>1</v>
      </c>
      <c r="F53" t="b">
        <v>0</v>
      </c>
      <c r="G53" t="n">
        <v>0.0</v>
      </c>
      <c r="H53" t="n">
        <v>0.0</v>
      </c>
      <c r="I53" t="s" s="37">
        <v>90</v>
      </c>
      <c r="K53" t="s" s="37">
        <v>158</v>
      </c>
    </row>
    <row r="54">
      <c r="A54">
        <f>'868-2'!AK8:AL8</f>
      </c>
      <c r="D54" t="s" s="37">
        <v>73</v>
      </c>
      <c r="E54" t="b">
        <v>1</v>
      </c>
      <c r="F54" t="b">
        <v>0</v>
      </c>
      <c r="G54" t="n">
        <v>0.0</v>
      </c>
      <c r="H54" t="n">
        <v>0.0</v>
      </c>
      <c r="I54" t="s" s="37">
        <v>90</v>
      </c>
      <c r="K54" t="s" s="37">
        <v>160</v>
      </c>
    </row>
    <row r="55">
      <c r="A55">
        <f>'868-2'!AL7:AM7</f>
      </c>
      <c r="D55" t="s" s="37">
        <v>73</v>
      </c>
      <c r="E55" t="b">
        <v>1</v>
      </c>
      <c r="F55" t="b">
        <v>0</v>
      </c>
      <c r="G55" t="n">
        <v>0.0</v>
      </c>
      <c r="H55" t="n">
        <v>0.0</v>
      </c>
      <c r="I55" t="s" s="37">
        <v>90</v>
      </c>
      <c r="K55" t="s" s="37">
        <v>164</v>
      </c>
    </row>
    <row r="56">
      <c r="A56">
        <f>'868-2'!AM7:AN7</f>
      </c>
      <c r="D56" t="s" s="37">
        <v>73</v>
      </c>
      <c r="E56" t="b">
        <v>1</v>
      </c>
      <c r="F56" t="b">
        <v>0</v>
      </c>
      <c r="G56" t="n">
        <v>0.0</v>
      </c>
      <c r="H56" t="n">
        <v>0.0</v>
      </c>
      <c r="I56" t="s" s="37">
        <v>90</v>
      </c>
      <c r="K56" t="s" s="37">
        <v>166</v>
      </c>
    </row>
    <row r="57">
      <c r="A57">
        <f>'868-2'!AN7:AO7</f>
      </c>
      <c r="D57" t="s" s="37">
        <v>73</v>
      </c>
      <c r="E57" t="b">
        <v>1</v>
      </c>
      <c r="F57" t="b">
        <v>0</v>
      </c>
      <c r="G57" t="n">
        <v>0.0</v>
      </c>
      <c r="H57" t="n">
        <v>0.0</v>
      </c>
      <c r="I57" t="s" s="37">
        <v>90</v>
      </c>
      <c r="K57" t="s" s="37">
        <v>168</v>
      </c>
    </row>
    <row r="58">
      <c r="A58">
        <f>'868-2'!AO7:AP7</f>
      </c>
      <c r="D58" t="s" s="37">
        <v>73</v>
      </c>
      <c r="E58" t="b">
        <v>1</v>
      </c>
      <c r="F58" t="b">
        <v>0</v>
      </c>
      <c r="G58" t="n">
        <v>0.0</v>
      </c>
      <c r="H58" t="n">
        <v>0.0</v>
      </c>
      <c r="I58" t="s" s="37">
        <v>90</v>
      </c>
      <c r="K58" t="s" s="37">
        <v>170</v>
      </c>
    </row>
    <row r="59">
      <c r="A59">
        <f>'868-2'!C13:C14</f>
      </c>
      <c r="D59" t="s" s="37">
        <v>35</v>
      </c>
      <c r="E59" t="b">
        <v>1</v>
      </c>
      <c r="F59" t="b">
        <v>0</v>
      </c>
      <c r="G59" t="n">
        <v>0.0</v>
      </c>
      <c r="H59" t="n">
        <v>0.0</v>
      </c>
      <c r="I59" t="s" s="37">
        <v>90</v>
      </c>
      <c r="L59" t="s" s="37">
        <v>176</v>
      </c>
    </row>
    <row r="60">
      <c r="A60">
        <f>'868-2'!C15:C16</f>
      </c>
      <c r="D60" t="s" s="37">
        <v>35</v>
      </c>
      <c r="E60" t="b">
        <v>1</v>
      </c>
      <c r="F60" t="b">
        <v>0</v>
      </c>
      <c r="G60" t="n">
        <v>0.0</v>
      </c>
      <c r="H60" t="n">
        <v>0.0</v>
      </c>
      <c r="I60" t="s" s="37">
        <v>90</v>
      </c>
      <c r="M60" t="s" s="37">
        <v>179</v>
      </c>
    </row>
    <row r="61">
      <c r="A61">
        <f>'868-2'!C16:C17</f>
      </c>
      <c r="D61" t="s" s="37">
        <v>35</v>
      </c>
      <c r="E61" t="b">
        <v>1</v>
      </c>
      <c r="F61" t="b">
        <v>0</v>
      </c>
      <c r="G61" t="n">
        <v>0.0</v>
      </c>
      <c r="H61" t="n">
        <v>0.0</v>
      </c>
      <c r="I61" t="s" s="37">
        <v>90</v>
      </c>
      <c r="M61" t="s" s="37">
        <v>181</v>
      </c>
    </row>
    <row r="62">
      <c r="A62">
        <f>'868-2'!C17:C18</f>
      </c>
      <c r="D62" t="s" s="37">
        <v>35</v>
      </c>
      <c r="E62" t="b">
        <v>1</v>
      </c>
      <c r="F62" t="b">
        <v>0</v>
      </c>
      <c r="G62" t="n">
        <v>0.0</v>
      </c>
      <c r="H62" t="n">
        <v>0.0</v>
      </c>
      <c r="I62" t="s" s="37">
        <v>90</v>
      </c>
      <c r="M62" t="s" s="37">
        <v>183</v>
      </c>
    </row>
    <row r="63">
      <c r="A63">
        <f>'868-2'!C18:C19</f>
      </c>
      <c r="D63" t="s" s="37">
        <v>35</v>
      </c>
      <c r="E63" t="b">
        <v>1</v>
      </c>
      <c r="F63" t="b">
        <v>0</v>
      </c>
      <c r="G63" t="n">
        <v>0.0</v>
      </c>
      <c r="H63" t="n">
        <v>0.0</v>
      </c>
      <c r="I63" t="s" s="37">
        <v>90</v>
      </c>
      <c r="M63" t="s" s="37">
        <v>185</v>
      </c>
    </row>
    <row r="64">
      <c r="A64">
        <f>'868-2'!C21:C22</f>
      </c>
      <c r="D64" t="s" s="37">
        <v>35</v>
      </c>
      <c r="E64" t="b">
        <v>1</v>
      </c>
      <c r="F64" t="b">
        <v>0</v>
      </c>
      <c r="G64" t="n">
        <v>0.0</v>
      </c>
      <c r="H64" t="n">
        <v>0.0</v>
      </c>
      <c r="I64" t="s" s="37">
        <v>90</v>
      </c>
      <c r="L64" t="s" s="37">
        <v>176</v>
      </c>
    </row>
    <row r="65">
      <c r="A65">
        <f>'868-2'!C23:C24</f>
      </c>
      <c r="D65" t="s" s="37">
        <v>35</v>
      </c>
      <c r="E65" t="b">
        <v>1</v>
      </c>
      <c r="F65" t="b">
        <v>0</v>
      </c>
      <c r="G65" t="n">
        <v>0.0</v>
      </c>
      <c r="H65" t="n">
        <v>0.0</v>
      </c>
      <c r="I65" t="s" s="37">
        <v>90</v>
      </c>
      <c r="M65" t="s" s="37">
        <v>179</v>
      </c>
    </row>
    <row r="66">
      <c r="A66">
        <f>'868-2'!C24:C25</f>
      </c>
      <c r="D66" t="s" s="37">
        <v>35</v>
      </c>
      <c r="E66" t="b">
        <v>1</v>
      </c>
      <c r="F66" t="b">
        <v>0</v>
      </c>
      <c r="G66" t="n">
        <v>0.0</v>
      </c>
      <c r="H66" t="n">
        <v>0.0</v>
      </c>
      <c r="I66" t="s" s="37">
        <v>90</v>
      </c>
      <c r="M66" t="s" s="37">
        <v>181</v>
      </c>
    </row>
    <row r="67">
      <c r="A67">
        <f>'868-2'!C25:C26</f>
      </c>
      <c r="D67" t="s" s="37">
        <v>35</v>
      </c>
      <c r="E67" t="b">
        <v>1</v>
      </c>
      <c r="F67" t="b">
        <v>0</v>
      </c>
      <c r="G67" t="n">
        <v>0.0</v>
      </c>
      <c r="H67" t="n">
        <v>0.0</v>
      </c>
      <c r="I67" t="s" s="37">
        <v>90</v>
      </c>
      <c r="M67" t="s" s="37">
        <v>183</v>
      </c>
    </row>
    <row r="68">
      <c r="A68">
        <f>'868-2'!C26:C27</f>
      </c>
      <c r="D68" t="s" s="37">
        <v>35</v>
      </c>
      <c r="E68" t="b">
        <v>1</v>
      </c>
      <c r="F68" t="b">
        <v>0</v>
      </c>
      <c r="G68" t="n">
        <v>0.0</v>
      </c>
      <c r="H68" t="n">
        <v>0.0</v>
      </c>
      <c r="I68" t="s" s="37">
        <v>90</v>
      </c>
      <c r="M68" t="s" s="37">
        <v>185</v>
      </c>
    </row>
    <row r="69">
      <c r="A69">
        <f>'868-2'!C19:C27</f>
      </c>
      <c r="D69" t="s" s="37">
        <v>35</v>
      </c>
      <c r="E69" t="b">
        <v>1</v>
      </c>
      <c r="F69" t="b">
        <v>0</v>
      </c>
      <c r="G69" t="n">
        <v>0.0</v>
      </c>
      <c r="H69" t="n">
        <v>0.0</v>
      </c>
      <c r="I69" t="s" s="37">
        <v>90</v>
      </c>
      <c r="N69" t="s" s="37">
        <v>190</v>
      </c>
    </row>
    <row r="70">
      <c r="A70">
        <f>'868-2'!C10:C27</f>
      </c>
      <c r="B70" t="s" s="37">
        <v>192</v>
      </c>
      <c r="D70" t="s" s="37">
        <v>35</v>
      </c>
      <c r="E70" t="b">
        <v>1</v>
      </c>
      <c r="F70" t="b">
        <v>0</v>
      </c>
      <c r="G70" t="n">
        <v>0.0</v>
      </c>
      <c r="H70" t="n">
        <v>0.0</v>
      </c>
      <c r="I70" t="s" s="37">
        <v>90</v>
      </c>
    </row>
    <row r="71">
      <c r="A71">
        <f>'Cell Metadata TNFC Internal'!C:C 'Cell Metadata TNFC Internal'!71:71</f>
      </c>
      <c r="B71" t="s" s="37">
        <v>28</v>
      </c>
      <c r="C71" t="s" s="37">
        <v>221</v>
      </c>
      <c r="D71" t="s" s="37">
        <v>21</v>
      </c>
      <c r="E71" t="b">
        <v>1</v>
      </c>
      <c r="F71" t="b">
        <v>0</v>
      </c>
      <c r="G71" t="n">
        <v>0.0</v>
      </c>
      <c r="H71" t="n">
        <v>0.0</v>
      </c>
      <c r="I71" t="s" s="37">
        <v>220</v>
      </c>
      <c r="J71" t="s" s="37">
        <v>30</v>
      </c>
    </row>
    <row r="72">
      <c r="A72">
        <f>'868-3'!E6:F6</f>
      </c>
      <c r="D72" t="s" s="37">
        <v>73</v>
      </c>
      <c r="E72" t="b">
        <v>1</v>
      </c>
      <c r="F72" t="b">
        <v>0</v>
      </c>
      <c r="G72" t="n">
        <v>0.0</v>
      </c>
      <c r="H72" t="n">
        <v>0.0</v>
      </c>
      <c r="I72" t="s" s="37">
        <v>220</v>
      </c>
      <c r="K72" t="s" s="37">
        <v>93</v>
      </c>
    </row>
    <row r="73">
      <c r="A73">
        <f>'868-3'!F6:G6</f>
      </c>
      <c r="D73" t="s" s="37">
        <v>73</v>
      </c>
      <c r="E73" t="b">
        <v>1</v>
      </c>
      <c r="F73" t="b">
        <v>0</v>
      </c>
      <c r="G73" t="n">
        <v>0.0</v>
      </c>
      <c r="H73" t="n">
        <v>0.0</v>
      </c>
      <c r="I73" t="s" s="37">
        <v>220</v>
      </c>
      <c r="K73" t="s" s="37">
        <v>95</v>
      </c>
    </row>
    <row r="74">
      <c r="A74">
        <f>'868-3'!G6:H6</f>
      </c>
      <c r="D74" t="s" s="37">
        <v>73</v>
      </c>
      <c r="E74" t="b">
        <v>1</v>
      </c>
      <c r="F74" t="b">
        <v>0</v>
      </c>
      <c r="G74" t="n">
        <v>0.0</v>
      </c>
      <c r="H74" t="n">
        <v>0.0</v>
      </c>
      <c r="I74" t="s" s="37">
        <v>220</v>
      </c>
      <c r="K74" t="s" s="37">
        <v>97</v>
      </c>
    </row>
    <row r="75">
      <c r="A75">
        <f>'868-3'!H6:I6</f>
      </c>
      <c r="D75" t="s" s="37">
        <v>73</v>
      </c>
      <c r="E75" t="b">
        <v>1</v>
      </c>
      <c r="F75" t="b">
        <v>0</v>
      </c>
      <c r="G75" t="n">
        <v>0.0</v>
      </c>
      <c r="H75" t="n">
        <v>0.0</v>
      </c>
      <c r="I75" t="s" s="37">
        <v>220</v>
      </c>
      <c r="K75" t="s" s="37">
        <v>99</v>
      </c>
    </row>
    <row r="76">
      <c r="A76">
        <f>'868-3'!I6:J6</f>
      </c>
      <c r="D76" t="s" s="37">
        <v>73</v>
      </c>
      <c r="E76" t="b">
        <v>1</v>
      </c>
      <c r="F76" t="b">
        <v>0</v>
      </c>
      <c r="G76" t="n">
        <v>0.0</v>
      </c>
      <c r="H76" t="n">
        <v>0.0</v>
      </c>
      <c r="I76" t="s" s="37">
        <v>220</v>
      </c>
      <c r="K76" t="s" s="37">
        <v>101</v>
      </c>
    </row>
    <row r="77">
      <c r="A77">
        <f>'868-3'!J7:K7</f>
      </c>
      <c r="D77" t="s" s="37">
        <v>73</v>
      </c>
      <c r="E77" t="b">
        <v>1</v>
      </c>
      <c r="F77" t="b">
        <v>0</v>
      </c>
      <c r="G77" t="n">
        <v>0.0</v>
      </c>
      <c r="H77" t="n">
        <v>0.0</v>
      </c>
      <c r="I77" t="s" s="37">
        <v>220</v>
      </c>
      <c r="K77" t="s" s="37">
        <v>104</v>
      </c>
    </row>
    <row r="78">
      <c r="A78">
        <f>'868-3'!K7:L7</f>
      </c>
      <c r="D78" t="s" s="37">
        <v>73</v>
      </c>
      <c r="E78" t="b">
        <v>1</v>
      </c>
      <c r="F78" t="b">
        <v>0</v>
      </c>
      <c r="G78" t="n">
        <v>0.0</v>
      </c>
      <c r="H78" t="n">
        <v>0.0</v>
      </c>
      <c r="I78" t="s" s="37">
        <v>220</v>
      </c>
      <c r="K78" t="s" s="37">
        <v>106</v>
      </c>
    </row>
    <row r="79">
      <c r="A79">
        <f>'868-3'!L7:M7</f>
      </c>
      <c r="D79" t="s" s="37">
        <v>73</v>
      </c>
      <c r="E79" t="b">
        <v>1</v>
      </c>
      <c r="F79" t="b">
        <v>0</v>
      </c>
      <c r="G79" t="n">
        <v>0.0</v>
      </c>
      <c r="H79" t="n">
        <v>0.0</v>
      </c>
      <c r="I79" t="s" s="37">
        <v>220</v>
      </c>
      <c r="K79" t="s" s="37">
        <v>108</v>
      </c>
    </row>
    <row r="80">
      <c r="A80">
        <f>'868-3'!M7:N7</f>
      </c>
      <c r="D80" t="s" s="37">
        <v>73</v>
      </c>
      <c r="E80" t="b">
        <v>1</v>
      </c>
      <c r="F80" t="b">
        <v>0</v>
      </c>
      <c r="G80" t="n">
        <v>0.0</v>
      </c>
      <c r="H80" t="n">
        <v>0.0</v>
      </c>
      <c r="I80" t="s" s="37">
        <v>220</v>
      </c>
      <c r="K80" t="s" s="37">
        <v>110</v>
      </c>
    </row>
    <row r="81">
      <c r="A81">
        <f>'868-3'!N7:O7</f>
      </c>
      <c r="D81" t="s" s="37">
        <v>73</v>
      </c>
      <c r="E81" t="b">
        <v>1</v>
      </c>
      <c r="F81" t="b">
        <v>0</v>
      </c>
      <c r="G81" t="n">
        <v>0.0</v>
      </c>
      <c r="H81" t="n">
        <v>0.0</v>
      </c>
      <c r="I81" t="s" s="37">
        <v>220</v>
      </c>
      <c r="K81" t="s" s="37">
        <v>112</v>
      </c>
    </row>
    <row r="82">
      <c r="A82">
        <f>'868-3'!O7:P7</f>
      </c>
      <c r="D82" t="s" s="37">
        <v>73</v>
      </c>
      <c r="E82" t="b">
        <v>1</v>
      </c>
      <c r="F82" t="b">
        <v>0</v>
      </c>
      <c r="G82" t="n">
        <v>0.0</v>
      </c>
      <c r="H82" t="n">
        <v>0.0</v>
      </c>
      <c r="I82" t="s" s="37">
        <v>220</v>
      </c>
      <c r="K82" t="s" s="37">
        <v>114</v>
      </c>
    </row>
    <row r="83">
      <c r="A83">
        <f>'868-3'!P7:Q7</f>
      </c>
      <c r="D83" t="s" s="37">
        <v>73</v>
      </c>
      <c r="E83" t="b">
        <v>1</v>
      </c>
      <c r="F83" t="b">
        <v>0</v>
      </c>
      <c r="G83" t="n">
        <v>0.0</v>
      </c>
      <c r="H83" t="n">
        <v>0.0</v>
      </c>
      <c r="I83" t="s" s="37">
        <v>220</v>
      </c>
      <c r="K83" t="s" s="37">
        <v>116</v>
      </c>
    </row>
    <row r="84">
      <c r="A84">
        <f>'868-3'!Q7:R7</f>
      </c>
      <c r="D84" t="s" s="37">
        <v>73</v>
      </c>
      <c r="E84" t="b">
        <v>1</v>
      </c>
      <c r="F84" t="b">
        <v>0</v>
      </c>
      <c r="G84" t="n">
        <v>0.0</v>
      </c>
      <c r="H84" t="n">
        <v>0.0</v>
      </c>
      <c r="I84" t="s" s="37">
        <v>220</v>
      </c>
      <c r="K84" t="s" s="37">
        <v>118</v>
      </c>
    </row>
    <row r="85">
      <c r="A85">
        <f>'868-3'!R7:S7</f>
      </c>
      <c r="D85" t="s" s="37">
        <v>73</v>
      </c>
      <c r="E85" t="b">
        <v>1</v>
      </c>
      <c r="F85" t="b">
        <v>0</v>
      </c>
      <c r="G85" t="n">
        <v>0.0</v>
      </c>
      <c r="H85" t="n">
        <v>0.0</v>
      </c>
      <c r="I85" t="s" s="37">
        <v>220</v>
      </c>
      <c r="K85" t="s" s="37">
        <v>121</v>
      </c>
    </row>
    <row r="86">
      <c r="A86">
        <f>'868-3'!S7:T7</f>
      </c>
      <c r="D86" t="s" s="37">
        <v>73</v>
      </c>
      <c r="E86" t="b">
        <v>1</v>
      </c>
      <c r="F86" t="b">
        <v>0</v>
      </c>
      <c r="G86" t="n">
        <v>0.0</v>
      </c>
      <c r="H86" t="n">
        <v>0.0</v>
      </c>
      <c r="I86" t="s" s="37">
        <v>220</v>
      </c>
      <c r="K86" t="s" s="37">
        <v>123</v>
      </c>
    </row>
    <row r="87">
      <c r="A87">
        <f>'868-3'!T7:U7</f>
      </c>
      <c r="D87" t="s" s="37">
        <v>73</v>
      </c>
      <c r="E87" t="b">
        <v>1</v>
      </c>
      <c r="F87" t="b">
        <v>0</v>
      </c>
      <c r="G87" t="n">
        <v>0.0</v>
      </c>
      <c r="H87" t="n">
        <v>0.0</v>
      </c>
      <c r="I87" t="s" s="37">
        <v>220</v>
      </c>
      <c r="K87" t="s" s="37">
        <v>125</v>
      </c>
    </row>
    <row r="88">
      <c r="A88">
        <f>'868-3'!U7:V7</f>
      </c>
      <c r="D88" t="s" s="37">
        <v>73</v>
      </c>
      <c r="E88" t="b">
        <v>1</v>
      </c>
      <c r="F88" t="b">
        <v>0</v>
      </c>
      <c r="G88" t="n">
        <v>0.0</v>
      </c>
      <c r="H88" t="n">
        <v>0.0</v>
      </c>
      <c r="I88" t="s" s="37">
        <v>220</v>
      </c>
      <c r="K88" t="s" s="37">
        <v>127</v>
      </c>
    </row>
    <row r="89">
      <c r="A89">
        <f>'868-3'!V7:W7</f>
      </c>
      <c r="D89" t="s" s="37">
        <v>73</v>
      </c>
      <c r="E89" t="b">
        <v>1</v>
      </c>
      <c r="F89" t="b">
        <v>0</v>
      </c>
      <c r="G89" t="n">
        <v>0.0</v>
      </c>
      <c r="H89" t="n">
        <v>0.0</v>
      </c>
      <c r="I89" t="s" s="37">
        <v>220</v>
      </c>
      <c r="K89" t="s" s="37">
        <v>130</v>
      </c>
    </row>
    <row r="90">
      <c r="A90">
        <f>'868-3'!W7:X7</f>
      </c>
      <c r="D90" t="s" s="37">
        <v>73</v>
      </c>
      <c r="E90" t="b">
        <v>1</v>
      </c>
      <c r="F90" t="b">
        <v>0</v>
      </c>
      <c r="G90" t="n">
        <v>0.0</v>
      </c>
      <c r="H90" t="n">
        <v>0.0</v>
      </c>
      <c r="I90" t="s" s="37">
        <v>220</v>
      </c>
      <c r="K90" t="s" s="37">
        <v>132</v>
      </c>
    </row>
    <row r="91">
      <c r="A91">
        <f>'868-3'!X7:Y7</f>
      </c>
      <c r="D91" t="s" s="37">
        <v>73</v>
      </c>
      <c r="E91" t="b">
        <v>1</v>
      </c>
      <c r="F91" t="b">
        <v>0</v>
      </c>
      <c r="G91" t="n">
        <v>0.0</v>
      </c>
      <c r="H91" t="n">
        <v>0.0</v>
      </c>
      <c r="I91" t="s" s="37">
        <v>220</v>
      </c>
      <c r="K91" t="s" s="37">
        <v>134</v>
      </c>
    </row>
    <row r="92">
      <c r="A92">
        <f>'868-3'!Y7:Z7</f>
      </c>
      <c r="D92" t="s" s="37">
        <v>73</v>
      </c>
      <c r="E92" t="b">
        <v>1</v>
      </c>
      <c r="F92" t="b">
        <v>0</v>
      </c>
      <c r="G92" t="n">
        <v>0.0</v>
      </c>
      <c r="H92" t="n">
        <v>0.0</v>
      </c>
      <c r="I92" t="s" s="37">
        <v>220</v>
      </c>
      <c r="K92" t="s" s="37">
        <v>136</v>
      </c>
    </row>
    <row r="93">
      <c r="A93">
        <f>'868-3'!Z7:AA7</f>
      </c>
      <c r="D93" t="s" s="37">
        <v>73</v>
      </c>
      <c r="E93" t="b">
        <v>1</v>
      </c>
      <c r="F93" t="b">
        <v>0</v>
      </c>
      <c r="G93" t="n">
        <v>0.0</v>
      </c>
      <c r="H93" t="n">
        <v>0.0</v>
      </c>
      <c r="I93" t="s" s="37">
        <v>220</v>
      </c>
      <c r="K93" t="s" s="37">
        <v>139</v>
      </c>
    </row>
    <row r="94">
      <c r="A94">
        <f>'868-3'!AA7:AB7</f>
      </c>
      <c r="D94" t="s" s="37">
        <v>73</v>
      </c>
      <c r="E94" t="b">
        <v>1</v>
      </c>
      <c r="F94" t="b">
        <v>0</v>
      </c>
      <c r="G94" t="n">
        <v>0.0</v>
      </c>
      <c r="H94" t="n">
        <v>0.0</v>
      </c>
      <c r="I94" t="s" s="37">
        <v>220</v>
      </c>
      <c r="K94" t="s" s="37">
        <v>141</v>
      </c>
    </row>
    <row r="95">
      <c r="A95">
        <f>'868-3'!AB7:AC7</f>
      </c>
      <c r="D95" t="s" s="37">
        <v>73</v>
      </c>
      <c r="E95" t="b">
        <v>1</v>
      </c>
      <c r="F95" t="b">
        <v>0</v>
      </c>
      <c r="G95" t="n">
        <v>0.0</v>
      </c>
      <c r="H95" t="n">
        <v>0.0</v>
      </c>
      <c r="I95" t="s" s="37">
        <v>220</v>
      </c>
      <c r="K95" t="s" s="37">
        <v>143</v>
      </c>
    </row>
    <row r="96">
      <c r="A96">
        <f>'868-3'!AC7:AD7</f>
      </c>
      <c r="D96" t="s" s="37">
        <v>73</v>
      </c>
      <c r="E96" t="b">
        <v>1</v>
      </c>
      <c r="F96" t="b">
        <v>0</v>
      </c>
      <c r="G96" t="n">
        <v>0.0</v>
      </c>
      <c r="H96" t="n">
        <v>0.0</v>
      </c>
      <c r="I96" t="s" s="37">
        <v>220</v>
      </c>
      <c r="K96" t="s" s="37">
        <v>145</v>
      </c>
    </row>
    <row r="97">
      <c r="A97">
        <f>'868-3'!AD7:AE7</f>
      </c>
      <c r="D97" t="s" s="37">
        <v>73</v>
      </c>
      <c r="E97" t="b">
        <v>1</v>
      </c>
      <c r="F97" t="b">
        <v>0</v>
      </c>
      <c r="G97" t="n">
        <v>0.0</v>
      </c>
      <c r="H97" t="n">
        <v>0.0</v>
      </c>
      <c r="I97" t="s" s="37">
        <v>220</v>
      </c>
      <c r="K97" t="s" s="37">
        <v>148</v>
      </c>
    </row>
    <row r="98">
      <c r="A98">
        <f>'868-3'!AE7:AF7</f>
      </c>
      <c r="D98" t="s" s="37">
        <v>73</v>
      </c>
      <c r="E98" t="b">
        <v>1</v>
      </c>
      <c r="F98" t="b">
        <v>0</v>
      </c>
      <c r="G98" t="n">
        <v>0.0</v>
      </c>
      <c r="H98" t="n">
        <v>0.0</v>
      </c>
      <c r="I98" t="s" s="37">
        <v>220</v>
      </c>
      <c r="K98" t="s" s="37">
        <v>150</v>
      </c>
    </row>
    <row r="99">
      <c r="A99">
        <f>'868-3'!AF7:AG7</f>
      </c>
      <c r="D99" t="s" s="37">
        <v>73</v>
      </c>
      <c r="E99" t="b">
        <v>1</v>
      </c>
      <c r="F99" t="b">
        <v>0</v>
      </c>
      <c r="G99" t="n">
        <v>0.0</v>
      </c>
      <c r="H99" t="n">
        <v>0.0</v>
      </c>
      <c r="I99" t="s" s="37">
        <v>220</v>
      </c>
      <c r="K99" t="s" s="37">
        <v>152</v>
      </c>
    </row>
    <row r="100">
      <c r="A100">
        <f>'868-3'!AG7:AH7</f>
      </c>
      <c r="D100" t="s" s="37">
        <v>73</v>
      </c>
      <c r="E100" t="b">
        <v>1</v>
      </c>
      <c r="F100" t="b">
        <v>0</v>
      </c>
      <c r="G100" t="n">
        <v>0.0</v>
      </c>
      <c r="H100" t="n">
        <v>0.0</v>
      </c>
      <c r="I100" t="s" s="37">
        <v>220</v>
      </c>
      <c r="K100" t="s" s="37">
        <v>154</v>
      </c>
    </row>
    <row r="101">
      <c r="A101">
        <f>'868-3'!AH7:AI7</f>
      </c>
      <c r="D101" t="s" s="37">
        <v>73</v>
      </c>
      <c r="E101" t="b">
        <v>1</v>
      </c>
      <c r="F101" t="b">
        <v>0</v>
      </c>
      <c r="G101" t="n">
        <v>0.0</v>
      </c>
      <c r="H101" t="n">
        <v>0.0</v>
      </c>
      <c r="I101" t="s" s="37">
        <v>220</v>
      </c>
      <c r="K101" t="s" s="37">
        <v>156</v>
      </c>
    </row>
    <row r="102">
      <c r="A102">
        <f>'868-3'!AI7:AJ7</f>
      </c>
      <c r="D102" t="s" s="37">
        <v>73</v>
      </c>
      <c r="E102" t="b">
        <v>1</v>
      </c>
      <c r="F102" t="b">
        <v>0</v>
      </c>
      <c r="G102" t="n">
        <v>0.0</v>
      </c>
      <c r="H102" t="n">
        <v>0.0</v>
      </c>
      <c r="I102" t="s" s="37">
        <v>220</v>
      </c>
      <c r="K102" t="s" s="37">
        <v>158</v>
      </c>
    </row>
    <row r="103">
      <c r="A103">
        <f>'868-3'!AJ7:AK7</f>
      </c>
      <c r="D103" t="s" s="37">
        <v>73</v>
      </c>
      <c r="E103" t="b">
        <v>1</v>
      </c>
      <c r="F103" t="b">
        <v>0</v>
      </c>
      <c r="G103" t="n">
        <v>0.0</v>
      </c>
      <c r="H103" t="n">
        <v>0.0</v>
      </c>
      <c r="I103" t="s" s="37">
        <v>220</v>
      </c>
      <c r="K103" t="s" s="37">
        <v>160</v>
      </c>
    </row>
    <row r="104">
      <c r="A104">
        <f>'868-3'!C11:C12</f>
      </c>
      <c r="D104" t="s" s="37">
        <v>35</v>
      </c>
      <c r="E104" t="b">
        <v>1</v>
      </c>
      <c r="F104" t="b">
        <v>0</v>
      </c>
      <c r="G104" t="n">
        <v>0.0</v>
      </c>
      <c r="H104" t="n">
        <v>0.0</v>
      </c>
      <c r="I104" t="s" s="37">
        <v>220</v>
      </c>
      <c r="L104" t="s" s="37">
        <v>176</v>
      </c>
    </row>
    <row r="105">
      <c r="A105">
        <f>'868-3'!C10:C12</f>
      </c>
      <c r="B105" t="s" s="37">
        <v>223</v>
      </c>
      <c r="D105" t="s" s="37">
        <v>35</v>
      </c>
      <c r="E105" t="b">
        <v>1</v>
      </c>
      <c r="F105" t="b">
        <v>0</v>
      </c>
      <c r="G105" t="n">
        <v>0.0</v>
      </c>
      <c r="H105" t="n">
        <v>0.0</v>
      </c>
      <c r="I105" t="s" s="37">
        <v>220</v>
      </c>
      <c r="N105" t="s" s="37">
        <v>190</v>
      </c>
    </row>
    <row r="106">
      <c r="A106">
        <f>'Cell Metadata TNFC Internal'!C:C 'Cell Metadata TNFC Internal'!106:106</f>
      </c>
      <c r="B106" t="s" s="37">
        <v>28</v>
      </c>
      <c r="C106" t="s" s="37">
        <v>227</v>
      </c>
      <c r="D106" t="s" s="37">
        <v>21</v>
      </c>
      <c r="E106" t="b">
        <v>1</v>
      </c>
      <c r="F106" t="b">
        <v>0</v>
      </c>
      <c r="G106" t="n">
        <v>0.0</v>
      </c>
      <c r="H106" t="n">
        <v>0.0</v>
      </c>
      <c r="I106" t="s" s="37">
        <v>226</v>
      </c>
      <c r="J106" t="s" s="37">
        <v>30</v>
      </c>
    </row>
    <row r="107">
      <c r="A107">
        <f>'868-4'!E6:F6</f>
      </c>
      <c r="D107" t="s" s="37">
        <v>73</v>
      </c>
      <c r="E107" t="b">
        <v>1</v>
      </c>
      <c r="F107" t="b">
        <v>0</v>
      </c>
      <c r="G107" t="n">
        <v>0.0</v>
      </c>
      <c r="H107" t="n">
        <v>0.0</v>
      </c>
      <c r="I107" t="s" s="37">
        <v>226</v>
      </c>
      <c r="K107" t="s" s="37">
        <v>164</v>
      </c>
    </row>
    <row r="108">
      <c r="A108">
        <f>'868-4'!F6:G6</f>
      </c>
      <c r="D108" t="s" s="37">
        <v>73</v>
      </c>
      <c r="E108" t="b">
        <v>1</v>
      </c>
      <c r="F108" t="b">
        <v>0</v>
      </c>
      <c r="G108" t="n">
        <v>0.0</v>
      </c>
      <c r="H108" t="n">
        <v>0.0</v>
      </c>
      <c r="I108" t="s" s="37">
        <v>226</v>
      </c>
      <c r="K108" t="s" s="37">
        <v>166</v>
      </c>
    </row>
    <row r="109">
      <c r="A109">
        <f>'868-4'!G6:H6</f>
      </c>
      <c r="D109" t="s" s="37">
        <v>73</v>
      </c>
      <c r="E109" t="b">
        <v>1</v>
      </c>
      <c r="F109" t="b">
        <v>0</v>
      </c>
      <c r="G109" t="n">
        <v>0.0</v>
      </c>
      <c r="H109" t="n">
        <v>0.0</v>
      </c>
      <c r="I109" t="s" s="37">
        <v>226</v>
      </c>
      <c r="K109" t="s" s="37">
        <v>168</v>
      </c>
    </row>
    <row r="110">
      <c r="A110">
        <f>'868-4'!H6:I6</f>
      </c>
      <c r="D110" t="s" s="37">
        <v>73</v>
      </c>
      <c r="E110" t="b">
        <v>1</v>
      </c>
      <c r="F110" t="b">
        <v>0</v>
      </c>
      <c r="G110" t="n">
        <v>0.0</v>
      </c>
      <c r="H110" t="n">
        <v>0.0</v>
      </c>
      <c r="I110" t="s" s="37">
        <v>226</v>
      </c>
      <c r="K110" t="s" s="37">
        <v>170</v>
      </c>
    </row>
    <row r="111">
      <c r="A111">
        <f>'868-4'!C9:C10</f>
      </c>
      <c r="B111" t="s" s="37">
        <v>223</v>
      </c>
      <c r="D111" t="s" s="37">
        <v>35</v>
      </c>
      <c r="E111" t="b">
        <v>1</v>
      </c>
      <c r="F111" t="b">
        <v>0</v>
      </c>
      <c r="G111" t="n">
        <v>0.0</v>
      </c>
      <c r="H111" t="n">
        <v>0.0</v>
      </c>
      <c r="I111" t="s" s="37">
        <v>226</v>
      </c>
      <c r="N111" t="s" s="37">
        <v>190</v>
      </c>
    </row>
    <row r="112">
      <c r="A112">
        <f>'Cell Metadata TNFC Internal'!C:C 'Cell Metadata TNFC Internal'!112:112</f>
      </c>
      <c r="B112" t="s" s="37">
        <v>28</v>
      </c>
      <c r="C112" t="s" s="37">
        <v>231</v>
      </c>
      <c r="D112" t="s" s="37">
        <v>21</v>
      </c>
      <c r="E112" t="b">
        <v>1</v>
      </c>
      <c r="F112" t="b">
        <v>0</v>
      </c>
      <c r="G112" t="n">
        <v>0.0</v>
      </c>
      <c r="H112" t="n">
        <v>0.0</v>
      </c>
      <c r="I112" t="s" s="37">
        <v>230</v>
      </c>
      <c r="J112" t="s" s="37">
        <v>30</v>
      </c>
    </row>
    <row r="113">
      <c r="A113">
        <f>'868-5'!D:D '868-5'!4:4</f>
      </c>
      <c r="B113" t="s" s="37">
        <v>192</v>
      </c>
      <c r="D113" t="s" s="37">
        <v>26</v>
      </c>
      <c r="E113" t="b">
        <v>1</v>
      </c>
      <c r="F113" t="b">
        <v>0</v>
      </c>
      <c r="G113" t="n">
        <v>0.0</v>
      </c>
      <c r="H113" t="n">
        <v>0.0</v>
      </c>
      <c r="I113" t="s" s="37">
        <v>230</v>
      </c>
    </row>
    <row r="114">
      <c r="A114">
        <f>'868-5'!E8:F8</f>
      </c>
      <c r="D114" t="s" s="37">
        <v>73</v>
      </c>
      <c r="E114" t="b">
        <v>1</v>
      </c>
      <c r="F114" t="b">
        <v>0</v>
      </c>
      <c r="G114" t="n">
        <v>0.0</v>
      </c>
      <c r="H114" t="n">
        <v>0.0</v>
      </c>
      <c r="I114" t="s" s="37">
        <v>230</v>
      </c>
      <c r="N114" t="s" s="37">
        <v>232</v>
      </c>
    </row>
    <row r="115">
      <c r="A115">
        <f>'868-5'!C14:C15</f>
      </c>
      <c r="D115" t="s" s="37">
        <v>35</v>
      </c>
      <c r="E115" t="b">
        <v>1</v>
      </c>
      <c r="F115" t="b">
        <v>0</v>
      </c>
      <c r="G115" t="n">
        <v>0.0</v>
      </c>
      <c r="H115" t="n">
        <v>0.0</v>
      </c>
      <c r="I115" t="s" s="37">
        <v>230</v>
      </c>
      <c r="O115" t="s" s="37">
        <v>236</v>
      </c>
    </row>
    <row r="116">
      <c r="A116">
        <f>'868-5'!C15:C16</f>
      </c>
      <c r="D116" t="s" s="37">
        <v>35</v>
      </c>
      <c r="E116" t="b">
        <v>1</v>
      </c>
      <c r="F116" t="b">
        <v>0</v>
      </c>
      <c r="G116" t="n">
        <v>0.0</v>
      </c>
      <c r="H116" t="n">
        <v>0.0</v>
      </c>
      <c r="I116" t="s" s="37">
        <v>230</v>
      </c>
      <c r="O116" t="s" s="37">
        <v>238</v>
      </c>
    </row>
    <row r="117">
      <c r="A117">
        <f>'868-5'!C16:C17</f>
      </c>
      <c r="D117" t="s" s="37">
        <v>35</v>
      </c>
      <c r="E117" t="b">
        <v>1</v>
      </c>
      <c r="F117" t="b">
        <v>0</v>
      </c>
      <c r="G117" t="n">
        <v>0.0</v>
      </c>
      <c r="H117" t="n">
        <v>0.0</v>
      </c>
      <c r="I117" t="s" s="37">
        <v>230</v>
      </c>
      <c r="O117" t="s" s="37">
        <v>240</v>
      </c>
    </row>
    <row r="118">
      <c r="A118">
        <f>'868-5'!C17:C18</f>
      </c>
      <c r="D118" t="s" s="37">
        <v>35</v>
      </c>
      <c r="E118" t="b">
        <v>1</v>
      </c>
      <c r="F118" t="b">
        <v>0</v>
      </c>
      <c r="G118" t="n">
        <v>0.0</v>
      </c>
      <c r="H118" t="n">
        <v>0.0</v>
      </c>
      <c r="I118" t="s" s="37">
        <v>230</v>
      </c>
      <c r="O118" t="s" s="37">
        <v>242</v>
      </c>
    </row>
    <row r="119">
      <c r="A119">
        <f>'868-5'!C18:C19</f>
      </c>
      <c r="D119" t="s" s="37">
        <v>35</v>
      </c>
      <c r="E119" t="b">
        <v>1</v>
      </c>
      <c r="F119" t="b">
        <v>0</v>
      </c>
      <c r="G119" t="n">
        <v>0.0</v>
      </c>
      <c r="H119" t="n">
        <v>0.0</v>
      </c>
      <c r="I119" t="s" s="37">
        <v>230</v>
      </c>
      <c r="O119" t="s" s="37">
        <v>244</v>
      </c>
    </row>
    <row r="120">
      <c r="A120">
        <f>'868-5'!C19:C20</f>
      </c>
      <c r="D120" t="s" s="37">
        <v>35</v>
      </c>
      <c r="E120" t="b">
        <v>1</v>
      </c>
      <c r="F120" t="b">
        <v>0</v>
      </c>
      <c r="G120" t="n">
        <v>0.0</v>
      </c>
      <c r="H120" t="n">
        <v>0.0</v>
      </c>
      <c r="I120" t="s" s="37">
        <v>230</v>
      </c>
      <c r="O120" t="s" s="37">
        <v>246</v>
      </c>
    </row>
    <row r="121">
      <c r="A121">
        <f>'868-5'!C20:C21</f>
      </c>
      <c r="D121" t="s" s="37">
        <v>35</v>
      </c>
      <c r="E121" t="b">
        <v>1</v>
      </c>
      <c r="F121" t="b">
        <v>0</v>
      </c>
      <c r="G121" t="n">
        <v>0.0</v>
      </c>
      <c r="H121" t="n">
        <v>0.0</v>
      </c>
      <c r="I121" t="s" s="37">
        <v>230</v>
      </c>
      <c r="O121" t="s" s="37">
        <v>248</v>
      </c>
    </row>
    <row r="122">
      <c r="A122">
        <f>'868-5'!C21:C22</f>
      </c>
      <c r="D122" t="s" s="37">
        <v>35</v>
      </c>
      <c r="E122" t="b">
        <v>1</v>
      </c>
      <c r="F122" t="b">
        <v>0</v>
      </c>
      <c r="G122" t="n">
        <v>0.0</v>
      </c>
      <c r="H122" t="n">
        <v>0.0</v>
      </c>
      <c r="I122" t="s" s="37">
        <v>230</v>
      </c>
      <c r="O122" t="s" s="37">
        <v>250</v>
      </c>
    </row>
    <row r="123">
      <c r="A123">
        <f>'868-5'!C22:C23</f>
      </c>
      <c r="D123" t="s" s="37">
        <v>35</v>
      </c>
      <c r="E123" t="b">
        <v>1</v>
      </c>
      <c r="F123" t="b">
        <v>0</v>
      </c>
      <c r="G123" t="n">
        <v>0.0</v>
      </c>
      <c r="H123" t="n">
        <v>0.0</v>
      </c>
      <c r="I123" t="s" s="37">
        <v>230</v>
      </c>
      <c r="O123" t="s" s="37">
        <v>252</v>
      </c>
    </row>
    <row r="124">
      <c r="A124">
        <f>'868-5'!C23:C24</f>
      </c>
      <c r="D124" t="s" s="37">
        <v>35</v>
      </c>
      <c r="E124" t="b">
        <v>1</v>
      </c>
      <c r="F124" t="b">
        <v>0</v>
      </c>
      <c r="G124" t="n">
        <v>0.0</v>
      </c>
      <c r="H124" t="n">
        <v>0.0</v>
      </c>
      <c r="I124" t="s" s="37">
        <v>230</v>
      </c>
      <c r="O124" t="s" s="37">
        <v>254</v>
      </c>
    </row>
    <row r="125">
      <c r="A125">
        <f>'868-5'!C24:C25</f>
      </c>
      <c r="D125" t="s" s="37">
        <v>35</v>
      </c>
      <c r="E125" t="b">
        <v>1</v>
      </c>
      <c r="F125" t="b">
        <v>0</v>
      </c>
      <c r="G125" t="n">
        <v>0.0</v>
      </c>
      <c r="H125" t="n">
        <v>0.0</v>
      </c>
      <c r="I125" t="s" s="37">
        <v>230</v>
      </c>
      <c r="O125" t="s" s="37">
        <v>256</v>
      </c>
    </row>
    <row r="126">
      <c r="A126">
        <f>'868-5'!C25:C26</f>
      </c>
      <c r="D126" t="s" s="37">
        <v>35</v>
      </c>
      <c r="E126" t="b">
        <v>1</v>
      </c>
      <c r="F126" t="b">
        <v>0</v>
      </c>
      <c r="G126" t="n">
        <v>0.0</v>
      </c>
      <c r="H126" t="n">
        <v>0.0</v>
      </c>
      <c r="I126" t="s" s="37">
        <v>230</v>
      </c>
      <c r="O126" t="s" s="37">
        <v>258</v>
      </c>
    </row>
    <row r="127">
      <c r="A127">
        <f>'868-5'!C26:C27</f>
      </c>
      <c r="D127" t="s" s="37">
        <v>35</v>
      </c>
      <c r="E127" t="b">
        <v>1</v>
      </c>
      <c r="F127" t="b">
        <v>0</v>
      </c>
      <c r="G127" t="n">
        <v>0.0</v>
      </c>
      <c r="H127" t="n">
        <v>0.0</v>
      </c>
      <c r="I127" t="s" s="37">
        <v>230</v>
      </c>
      <c r="O127" t="s" s="37">
        <v>260</v>
      </c>
    </row>
    <row r="128">
      <c r="A128">
        <f>'868-5'!C28:C29</f>
      </c>
      <c r="D128" t="s" s="37">
        <v>35</v>
      </c>
      <c r="E128" t="b">
        <v>1</v>
      </c>
      <c r="F128" t="b">
        <v>0</v>
      </c>
      <c r="G128" t="n">
        <v>0.0</v>
      </c>
      <c r="H128" t="n">
        <v>0.0</v>
      </c>
      <c r="I128" t="s" s="37">
        <v>230</v>
      </c>
      <c r="O128" t="s" s="37">
        <v>262</v>
      </c>
    </row>
    <row r="129">
      <c r="A129">
        <f>'868-5'!C29:C30</f>
      </c>
      <c r="D129" t="s" s="37">
        <v>35</v>
      </c>
      <c r="E129" t="b">
        <v>1</v>
      </c>
      <c r="F129" t="b">
        <v>0</v>
      </c>
      <c r="G129" t="n">
        <v>0.0</v>
      </c>
      <c r="H129" t="n">
        <v>0.0</v>
      </c>
      <c r="I129" t="s" s="37">
        <v>230</v>
      </c>
      <c r="O129" t="s" s="37">
        <v>264</v>
      </c>
    </row>
    <row r="130">
      <c r="A130">
        <f>'868-5'!C30:C31</f>
      </c>
      <c r="D130" t="s" s="37">
        <v>35</v>
      </c>
      <c r="E130" t="b">
        <v>1</v>
      </c>
      <c r="F130" t="b">
        <v>0</v>
      </c>
      <c r="G130" t="n">
        <v>0.0</v>
      </c>
      <c r="H130" t="n">
        <v>0.0</v>
      </c>
      <c r="I130" t="s" s="37">
        <v>230</v>
      </c>
      <c r="O130" t="s" s="37">
        <v>266</v>
      </c>
    </row>
    <row r="131">
      <c r="A131">
        <f>'868-5'!C31:C32</f>
      </c>
      <c r="D131" t="s" s="37">
        <v>35</v>
      </c>
      <c r="E131" t="b">
        <v>1</v>
      </c>
      <c r="F131" t="b">
        <v>0</v>
      </c>
      <c r="G131" t="n">
        <v>0.0</v>
      </c>
      <c r="H131" t="n">
        <v>0.0</v>
      </c>
      <c r="I131" t="s" s="37">
        <v>230</v>
      </c>
      <c r="O131" t="s" s="37">
        <v>268</v>
      </c>
    </row>
    <row r="132">
      <c r="A132">
        <f>'868-5'!C32:C33</f>
      </c>
      <c r="D132" t="s" s="37">
        <v>35</v>
      </c>
      <c r="E132" t="b">
        <v>1</v>
      </c>
      <c r="F132" t="b">
        <v>0</v>
      </c>
      <c r="G132" t="n">
        <v>0.0</v>
      </c>
      <c r="H132" t="n">
        <v>0.0</v>
      </c>
      <c r="I132" t="s" s="37">
        <v>230</v>
      </c>
      <c r="O132" t="s" s="37">
        <v>270</v>
      </c>
    </row>
    <row r="133">
      <c r="A133">
        <f>'868-5'!C34:C35</f>
      </c>
      <c r="D133" t="s" s="37">
        <v>35</v>
      </c>
      <c r="E133" t="b">
        <v>1</v>
      </c>
      <c r="F133" t="b">
        <v>0</v>
      </c>
      <c r="G133" t="n">
        <v>0.0</v>
      </c>
      <c r="H133" t="n">
        <v>0.0</v>
      </c>
      <c r="I133" t="s" s="37">
        <v>230</v>
      </c>
      <c r="O133" t="s" s="37">
        <v>271</v>
      </c>
    </row>
    <row r="134">
      <c r="A134">
        <f>'868-5'!C35:C36</f>
      </c>
      <c r="D134" t="s" s="37">
        <v>35</v>
      </c>
      <c r="E134" t="b">
        <v>1</v>
      </c>
      <c r="F134" t="b">
        <v>0</v>
      </c>
      <c r="G134" t="n">
        <v>0.0</v>
      </c>
      <c r="H134" t="n">
        <v>0.0</v>
      </c>
      <c r="I134" t="s" s="37">
        <v>230</v>
      </c>
      <c r="O134" t="s" s="37">
        <v>273</v>
      </c>
    </row>
    <row r="135">
      <c r="A135">
        <f>'868-5'!C36:C37</f>
      </c>
      <c r="D135" t="s" s="37">
        <v>35</v>
      </c>
      <c r="E135" t="b">
        <v>1</v>
      </c>
      <c r="F135" t="b">
        <v>0</v>
      </c>
      <c r="G135" t="n">
        <v>0.0</v>
      </c>
      <c r="H135" t="n">
        <v>0.0</v>
      </c>
      <c r="I135" t="s" s="37">
        <v>230</v>
      </c>
      <c r="O135" t="s" s="37">
        <v>275</v>
      </c>
    </row>
    <row r="136">
      <c r="A136">
        <f>'868-5'!C37:C38</f>
      </c>
      <c r="D136" t="s" s="37">
        <v>35</v>
      </c>
      <c r="E136" t="b">
        <v>1</v>
      </c>
      <c r="F136" t="b">
        <v>0</v>
      </c>
      <c r="G136" t="n">
        <v>0.0</v>
      </c>
      <c r="H136" t="n">
        <v>0.0</v>
      </c>
      <c r="I136" t="s" s="37">
        <v>230</v>
      </c>
      <c r="O136" t="s" s="37">
        <v>277</v>
      </c>
    </row>
    <row r="137">
      <c r="A137">
        <f>'868-5'!C38:C39</f>
      </c>
      <c r="D137" t="s" s="37">
        <v>35</v>
      </c>
      <c r="E137" t="b">
        <v>1</v>
      </c>
      <c r="F137" t="b">
        <v>0</v>
      </c>
      <c r="G137" t="n">
        <v>0.0</v>
      </c>
      <c r="H137" t="n">
        <v>0.0</v>
      </c>
      <c r="I137" t="s" s="37">
        <v>230</v>
      </c>
      <c r="O137" t="s" s="37">
        <v>279</v>
      </c>
    </row>
    <row r="138">
      <c r="A138">
        <f>'868-5'!C39:C40</f>
      </c>
      <c r="D138" t="s" s="37">
        <v>35</v>
      </c>
      <c r="E138" t="b">
        <v>1</v>
      </c>
      <c r="F138" t="b">
        <v>0</v>
      </c>
      <c r="G138" t="n">
        <v>0.0</v>
      </c>
      <c r="H138" t="n">
        <v>0.0</v>
      </c>
      <c r="I138" t="s" s="37">
        <v>230</v>
      </c>
      <c r="O138" t="s" s="37">
        <v>281</v>
      </c>
    </row>
    <row r="139">
      <c r="A139">
        <f>'868-5'!C40:C41</f>
      </c>
      <c r="D139" t="s" s="37">
        <v>35</v>
      </c>
      <c r="E139" t="b">
        <v>1</v>
      </c>
      <c r="F139" t="b">
        <v>0</v>
      </c>
      <c r="G139" t="n">
        <v>0.0</v>
      </c>
      <c r="H139" t="n">
        <v>0.0</v>
      </c>
      <c r="I139" t="s" s="37">
        <v>230</v>
      </c>
      <c r="O139" t="s" s="37">
        <v>283</v>
      </c>
    </row>
    <row r="140">
      <c r="A140">
        <f>'868-5'!C41:C42</f>
      </c>
      <c r="D140" t="s" s="37">
        <v>35</v>
      </c>
      <c r="E140" t="b">
        <v>1</v>
      </c>
      <c r="F140" t="b">
        <v>0</v>
      </c>
      <c r="G140" t="n">
        <v>0.0</v>
      </c>
      <c r="H140" t="n">
        <v>0.0</v>
      </c>
      <c r="I140" t="s" s="37">
        <v>230</v>
      </c>
      <c r="O140" t="s" s="37">
        <v>285</v>
      </c>
    </row>
    <row r="141">
      <c r="A141">
        <f>'868-5'!C43:C44</f>
      </c>
      <c r="D141" t="s" s="37">
        <v>35</v>
      </c>
      <c r="E141" t="b">
        <v>1</v>
      </c>
      <c r="F141" t="b">
        <v>0</v>
      </c>
      <c r="G141" t="n">
        <v>0.0</v>
      </c>
      <c r="H141" t="n">
        <v>0.0</v>
      </c>
      <c r="I141" t="s" s="37">
        <v>230</v>
      </c>
      <c r="O141" t="s" s="37">
        <v>286</v>
      </c>
    </row>
    <row r="142">
      <c r="A142">
        <f>'868-5'!C44:C45</f>
      </c>
      <c r="D142" t="s" s="37">
        <v>35</v>
      </c>
      <c r="E142" t="b">
        <v>1</v>
      </c>
      <c r="F142" t="b">
        <v>0</v>
      </c>
      <c r="G142" t="n">
        <v>0.0</v>
      </c>
      <c r="H142" t="n">
        <v>0.0</v>
      </c>
      <c r="I142" t="s" s="37">
        <v>230</v>
      </c>
      <c r="O142" t="s" s="37">
        <v>287</v>
      </c>
    </row>
    <row r="143">
      <c r="A143">
        <f>'868-5'!C45:C46</f>
      </c>
      <c r="D143" t="s" s="37">
        <v>35</v>
      </c>
      <c r="E143" t="b">
        <v>1</v>
      </c>
      <c r="F143" t="b">
        <v>0</v>
      </c>
      <c r="G143" t="n">
        <v>0.0</v>
      </c>
      <c r="H143" t="n">
        <v>0.0</v>
      </c>
      <c r="I143" t="s" s="37">
        <v>230</v>
      </c>
      <c r="O143" t="s" s="37">
        <v>289</v>
      </c>
    </row>
    <row r="144">
      <c r="A144">
        <f>'868-5'!C46:C47</f>
      </c>
      <c r="D144" t="s" s="37">
        <v>35</v>
      </c>
      <c r="E144" t="b">
        <v>1</v>
      </c>
      <c r="F144" t="b">
        <v>0</v>
      </c>
      <c r="G144" t="n">
        <v>0.0</v>
      </c>
      <c r="H144" t="n">
        <v>0.0</v>
      </c>
      <c r="I144" t="s" s="37">
        <v>230</v>
      </c>
      <c r="O144" t="s" s="37">
        <v>291</v>
      </c>
    </row>
    <row r="145">
      <c r="A145">
        <f>'868-5'!C48:C49</f>
      </c>
      <c r="D145" t="s" s="37">
        <v>35</v>
      </c>
      <c r="E145" t="b">
        <v>1</v>
      </c>
      <c r="F145" t="b">
        <v>0</v>
      </c>
      <c r="G145" t="n">
        <v>0.0</v>
      </c>
      <c r="H145" t="n">
        <v>0.0</v>
      </c>
      <c r="I145" t="s" s="37">
        <v>230</v>
      </c>
      <c r="O145" t="s" s="37">
        <v>292</v>
      </c>
    </row>
    <row r="146">
      <c r="A146">
        <f>'868-5'!C49:C50</f>
      </c>
      <c r="D146" t="s" s="37">
        <v>35</v>
      </c>
      <c r="E146" t="b">
        <v>1</v>
      </c>
      <c r="F146" t="b">
        <v>0</v>
      </c>
      <c r="G146" t="n">
        <v>0.0</v>
      </c>
      <c r="H146" t="n">
        <v>0.0</v>
      </c>
      <c r="I146" t="s" s="37">
        <v>230</v>
      </c>
      <c r="O146" t="s" s="37">
        <v>293</v>
      </c>
    </row>
    <row r="147">
      <c r="A147">
        <f>'868-5'!C50:C51</f>
      </c>
      <c r="D147" t="s" s="37">
        <v>35</v>
      </c>
      <c r="E147" t="b">
        <v>1</v>
      </c>
      <c r="F147" t="b">
        <v>0</v>
      </c>
      <c r="G147" t="n">
        <v>0.0</v>
      </c>
      <c r="H147" t="n">
        <v>0.0</v>
      </c>
      <c r="I147" t="s" s="37">
        <v>230</v>
      </c>
      <c r="O147" t="s" s="37">
        <v>295</v>
      </c>
    </row>
    <row r="148">
      <c r="A148">
        <f>'868-5'!C51:C52</f>
      </c>
      <c r="D148" t="s" s="37">
        <v>35</v>
      </c>
      <c r="E148" t="b">
        <v>1</v>
      </c>
      <c r="F148" t="b">
        <v>0</v>
      </c>
      <c r="G148" t="n">
        <v>0.0</v>
      </c>
      <c r="H148" t="n">
        <v>0.0</v>
      </c>
      <c r="I148" t="s" s="37">
        <v>230</v>
      </c>
      <c r="O148" t="s" s="37">
        <v>297</v>
      </c>
    </row>
    <row r="149">
      <c r="A149">
        <f>'868-5'!C52:C53</f>
      </c>
      <c r="D149" t="s" s="37">
        <v>35</v>
      </c>
      <c r="E149" t="b">
        <v>1</v>
      </c>
      <c r="F149" t="b">
        <v>0</v>
      </c>
      <c r="G149" t="n">
        <v>0.0</v>
      </c>
      <c r="H149" t="n">
        <v>0.0</v>
      </c>
      <c r="I149" t="s" s="37">
        <v>230</v>
      </c>
      <c r="O149" t="s" s="37">
        <v>299</v>
      </c>
    </row>
    <row r="150">
      <c r="A150">
        <f>'868-5'!C53:C54</f>
      </c>
      <c r="D150" t="s" s="37">
        <v>35</v>
      </c>
      <c r="E150" t="b">
        <v>1</v>
      </c>
      <c r="F150" t="b">
        <v>0</v>
      </c>
      <c r="G150" t="n">
        <v>0.0</v>
      </c>
      <c r="H150" t="n">
        <v>0.0</v>
      </c>
      <c r="I150" t="s" s="37">
        <v>230</v>
      </c>
      <c r="O150" t="s" s="37">
        <v>301</v>
      </c>
    </row>
    <row r="151">
      <c r="A151">
        <f>'868-5'!C54:C55</f>
      </c>
      <c r="D151" t="s" s="37">
        <v>35</v>
      </c>
      <c r="E151" t="b">
        <v>1</v>
      </c>
      <c r="F151" t="b">
        <v>0</v>
      </c>
      <c r="G151" t="n">
        <v>0.0</v>
      </c>
      <c r="H151" t="n">
        <v>0.0</v>
      </c>
      <c r="I151" t="s" s="37">
        <v>230</v>
      </c>
      <c r="O151" t="s" s="37">
        <v>303</v>
      </c>
    </row>
    <row r="152">
      <c r="A152">
        <f>'868-5'!C56:C57</f>
      </c>
      <c r="D152" t="s" s="37">
        <v>35</v>
      </c>
      <c r="E152" t="b">
        <v>1</v>
      </c>
      <c r="F152" t="b">
        <v>0</v>
      </c>
      <c r="G152" t="n">
        <v>0.0</v>
      </c>
      <c r="H152" t="n">
        <v>0.0</v>
      </c>
      <c r="I152" t="s" s="37">
        <v>230</v>
      </c>
      <c r="O152" t="s" s="37">
        <v>306</v>
      </c>
    </row>
    <row r="153">
      <c r="A153">
        <f>'868-5'!C57:C58</f>
      </c>
      <c r="D153" t="s" s="37">
        <v>35</v>
      </c>
      <c r="E153" t="b">
        <v>1</v>
      </c>
      <c r="F153" t="b">
        <v>0</v>
      </c>
      <c r="G153" t="n">
        <v>0.0</v>
      </c>
      <c r="H153" t="n">
        <v>0.0</v>
      </c>
      <c r="I153" t="s" s="37">
        <v>230</v>
      </c>
      <c r="O153" t="s" s="37">
        <v>308</v>
      </c>
    </row>
    <row r="154">
      <c r="A154">
        <f>'868-5'!C58:C59</f>
      </c>
      <c r="D154" t="s" s="37">
        <v>35</v>
      </c>
      <c r="E154" t="b">
        <v>1</v>
      </c>
      <c r="F154" t="b">
        <v>0</v>
      </c>
      <c r="G154" t="n">
        <v>0.0</v>
      </c>
      <c r="H154" t="n">
        <v>0.0</v>
      </c>
      <c r="I154" t="s" s="37">
        <v>230</v>
      </c>
      <c r="O154" t="s" s="37">
        <v>310</v>
      </c>
    </row>
    <row r="155">
      <c r="A155">
        <f>'868-5'!C60:C61</f>
      </c>
      <c r="D155" t="s" s="37">
        <v>35</v>
      </c>
      <c r="E155" t="b">
        <v>1</v>
      </c>
      <c r="F155" t="b">
        <v>0</v>
      </c>
      <c r="G155" t="n">
        <v>0.0</v>
      </c>
      <c r="H155" t="n">
        <v>0.0</v>
      </c>
      <c r="I155" t="s" s="37">
        <v>230</v>
      </c>
      <c r="O155" t="s" s="37">
        <v>313</v>
      </c>
    </row>
    <row r="156">
      <c r="A156">
        <f>'868-5'!C61:C62</f>
      </c>
      <c r="D156" t="s" s="37">
        <v>35</v>
      </c>
      <c r="E156" t="b">
        <v>1</v>
      </c>
      <c r="F156" t="b">
        <v>0</v>
      </c>
      <c r="G156" t="n">
        <v>0.0</v>
      </c>
      <c r="H156" t="n">
        <v>0.0</v>
      </c>
      <c r="I156" t="s" s="37">
        <v>230</v>
      </c>
      <c r="O156" t="s" s="37">
        <v>315</v>
      </c>
    </row>
    <row r="157">
      <c r="A157">
        <f>'868-5'!C62:C63</f>
      </c>
      <c r="D157" t="s" s="37">
        <v>35</v>
      </c>
      <c r="E157" t="b">
        <v>1</v>
      </c>
      <c r="F157" t="b">
        <v>0</v>
      </c>
      <c r="G157" t="n">
        <v>0.0</v>
      </c>
      <c r="H157" t="n">
        <v>0.0</v>
      </c>
      <c r="I157" t="s" s="37">
        <v>230</v>
      </c>
      <c r="O157" t="s" s="37">
        <v>317</v>
      </c>
    </row>
    <row r="158">
      <c r="A158">
        <f>'868-5'!C63:C64</f>
      </c>
      <c r="D158" t="s" s="37">
        <v>35</v>
      </c>
      <c r="E158" t="b">
        <v>1</v>
      </c>
      <c r="F158" t="b">
        <v>0</v>
      </c>
      <c r="G158" t="n">
        <v>0.0</v>
      </c>
      <c r="H158" t="n">
        <v>0.0</v>
      </c>
      <c r="I158" t="s" s="37">
        <v>230</v>
      </c>
      <c r="O158" t="s" s="37">
        <v>319</v>
      </c>
    </row>
    <row r="159">
      <c r="A159">
        <f>'868-5'!C64:C65</f>
      </c>
      <c r="D159" t="s" s="37">
        <v>35</v>
      </c>
      <c r="E159" t="b">
        <v>1</v>
      </c>
      <c r="F159" t="b">
        <v>0</v>
      </c>
      <c r="G159" t="n">
        <v>0.0</v>
      </c>
      <c r="H159" t="n">
        <v>0.0</v>
      </c>
      <c r="I159" t="s" s="37">
        <v>230</v>
      </c>
      <c r="O159" t="s" s="37">
        <v>321</v>
      </c>
    </row>
    <row r="160">
      <c r="A160">
        <f>'868-5'!C65:C66</f>
      </c>
      <c r="D160" t="s" s="37">
        <v>35</v>
      </c>
      <c r="E160" t="b">
        <v>1</v>
      </c>
      <c r="F160" t="b">
        <v>0</v>
      </c>
      <c r="G160" t="n">
        <v>0.0</v>
      </c>
      <c r="H160" t="n">
        <v>0.0</v>
      </c>
      <c r="I160" t="s" s="37">
        <v>230</v>
      </c>
      <c r="O160" t="s" s="37">
        <v>323</v>
      </c>
    </row>
    <row r="161">
      <c r="A161">
        <f>'868-5'!C66:C67</f>
      </c>
      <c r="D161" t="s" s="37">
        <v>35</v>
      </c>
      <c r="E161" t="b">
        <v>1</v>
      </c>
      <c r="F161" t="b">
        <v>0</v>
      </c>
      <c r="G161" t="n">
        <v>0.0</v>
      </c>
      <c r="H161" t="n">
        <v>0.0</v>
      </c>
      <c r="I161" t="s" s="37">
        <v>230</v>
      </c>
      <c r="O161" t="s" s="37">
        <v>325</v>
      </c>
    </row>
    <row r="162">
      <c r="A162">
        <f>'868-5'!C67:C68</f>
      </c>
      <c r="D162" t="s" s="37">
        <v>35</v>
      </c>
      <c r="E162" t="b">
        <v>1</v>
      </c>
      <c r="F162" t="b">
        <v>0</v>
      </c>
      <c r="G162" t="n">
        <v>0.0</v>
      </c>
      <c r="H162" t="n">
        <v>0.0</v>
      </c>
      <c r="I162" t="s" s="37">
        <v>230</v>
      </c>
      <c r="O162" t="s" s="37">
        <v>328</v>
      </c>
    </row>
    <row r="163">
      <c r="A163">
        <f>'Cell Metadata TNFC Internal'!C:C 'Cell Metadata TNFC Internal'!163:163</f>
      </c>
      <c r="B163" t="s" s="37">
        <v>28</v>
      </c>
      <c r="C163" t="s" s="37">
        <v>344</v>
      </c>
      <c r="D163" t="s" s="37">
        <v>21</v>
      </c>
      <c r="E163" t="b">
        <v>1</v>
      </c>
      <c r="F163" t="b">
        <v>0</v>
      </c>
      <c r="G163" t="n">
        <v>0.0</v>
      </c>
      <c r="H163" t="n">
        <v>0.0</v>
      </c>
      <c r="I163" t="s" s="37">
        <v>343</v>
      </c>
      <c r="J163" t="s" s="37">
        <v>30</v>
      </c>
    </row>
    <row r="164">
      <c r="A164">
        <f>'868-6'!D6:E6</f>
      </c>
      <c r="B164" t="s" s="37">
        <v>346</v>
      </c>
      <c r="D164" t="s" s="37">
        <v>73</v>
      </c>
      <c r="E164" t="b">
        <v>1</v>
      </c>
      <c r="F164" t="b">
        <v>0</v>
      </c>
      <c r="G164" t="n">
        <v>0.0</v>
      </c>
      <c r="H164" t="n">
        <v>0.0</v>
      </c>
      <c r="I164" t="s" s="37">
        <v>343</v>
      </c>
    </row>
    <row r="165">
      <c r="A165">
        <f>'868-6'!E6:F6</f>
      </c>
      <c r="B165" t="s" s="37">
        <v>348</v>
      </c>
      <c r="D165" t="s" s="37">
        <v>73</v>
      </c>
      <c r="E165" t="b">
        <v>1</v>
      </c>
      <c r="F165" t="b">
        <v>0</v>
      </c>
      <c r="G165" t="n">
        <v>0.0</v>
      </c>
      <c r="H165" t="n">
        <v>0.0</v>
      </c>
      <c r="I165" t="s" s="37">
        <v>343</v>
      </c>
    </row>
    <row r="166">
      <c r="A166">
        <f>'868-6'!F6:G6</f>
      </c>
      <c r="B166" t="s" s="37">
        <v>350</v>
      </c>
      <c r="D166" t="s" s="37">
        <v>73</v>
      </c>
      <c r="E166" t="b">
        <v>1</v>
      </c>
      <c r="F166" t="b">
        <v>0</v>
      </c>
      <c r="G166" t="n">
        <v>0.0</v>
      </c>
      <c r="H166" t="n">
        <v>0.0</v>
      </c>
      <c r="I166" t="s" s="37">
        <v>343</v>
      </c>
    </row>
    <row r="167">
      <c r="A167">
        <f>'868-6'!G6:H6</f>
      </c>
      <c r="B167" t="s" s="37">
        <v>352</v>
      </c>
      <c r="D167" t="s" s="37">
        <v>73</v>
      </c>
      <c r="E167" t="b">
        <v>1</v>
      </c>
      <c r="F167" t="b">
        <v>0</v>
      </c>
      <c r="G167" t="n">
        <v>0.0</v>
      </c>
      <c r="H167" t="n">
        <v>0.0</v>
      </c>
      <c r="I167" t="s" s="37">
        <v>343</v>
      </c>
    </row>
    <row r="168">
      <c r="A168">
        <f>'868-6'!H6:I6</f>
      </c>
      <c r="B168" t="s" s="37">
        <v>355</v>
      </c>
      <c r="D168" t="s" s="37">
        <v>73</v>
      </c>
      <c r="E168" t="b">
        <v>1</v>
      </c>
      <c r="F168" t="b">
        <v>0</v>
      </c>
      <c r="G168" t="n">
        <v>0.0</v>
      </c>
      <c r="H168" t="n">
        <v>0.0</v>
      </c>
      <c r="I168" t="s" s="37">
        <v>343</v>
      </c>
    </row>
    <row r="169">
      <c r="A169">
        <f>'868-6'!I6:J6</f>
      </c>
      <c r="B169" t="s" s="37">
        <v>357</v>
      </c>
      <c r="D169" t="s" s="37">
        <v>73</v>
      </c>
      <c r="E169" t="b">
        <v>1</v>
      </c>
      <c r="F169" t="b">
        <v>0</v>
      </c>
      <c r="G169" t="n">
        <v>0.0</v>
      </c>
      <c r="H169" t="n">
        <v>0.0</v>
      </c>
      <c r="I169" t="s" s="37">
        <v>343</v>
      </c>
    </row>
    <row r="170">
      <c r="A170">
        <f>'868-6'!J6:K6</f>
      </c>
      <c r="B170" t="s" s="37">
        <v>359</v>
      </c>
      <c r="D170" t="s" s="37">
        <v>73</v>
      </c>
      <c r="E170" t="b">
        <v>1</v>
      </c>
      <c r="F170" t="b">
        <v>0</v>
      </c>
      <c r="G170" t="n">
        <v>0.0</v>
      </c>
      <c r="H170" t="n">
        <v>0.0</v>
      </c>
      <c r="I170" t="s" s="37">
        <v>343</v>
      </c>
    </row>
    <row r="171">
      <c r="A171">
        <f>'868-6'!K6:L6</f>
      </c>
      <c r="B171" t="s" s="37">
        <v>360</v>
      </c>
      <c r="D171" t="s" s="37">
        <v>73</v>
      </c>
      <c r="E171" t="b">
        <v>1</v>
      </c>
      <c r="F171" t="b">
        <v>0</v>
      </c>
      <c r="G171" t="n">
        <v>0.0</v>
      </c>
      <c r="H171" t="n">
        <v>0.0</v>
      </c>
      <c r="I171" t="s" s="37">
        <v>343</v>
      </c>
    </row>
    <row r="172">
      <c r="A172">
        <f>'868-6'!L5:M5</f>
      </c>
      <c r="B172" t="s" s="37">
        <v>363</v>
      </c>
      <c r="D172" t="s" s="37">
        <v>73</v>
      </c>
      <c r="E172" t="b">
        <v>1</v>
      </c>
      <c r="F172" t="b">
        <v>0</v>
      </c>
      <c r="G172" t="n">
        <v>0.0</v>
      </c>
      <c r="H172" t="n">
        <v>0.0</v>
      </c>
      <c r="I172" t="s" s="37">
        <v>343</v>
      </c>
    </row>
    <row r="173">
      <c r="A173">
        <f>'868-6'!M6:N6</f>
      </c>
      <c r="B173" t="s" s="37">
        <v>365</v>
      </c>
      <c r="D173" t="s" s="37">
        <v>73</v>
      </c>
      <c r="E173" t="b">
        <v>1</v>
      </c>
      <c r="F173" t="b">
        <v>0</v>
      </c>
      <c r="G173" t="n">
        <v>0.0</v>
      </c>
      <c r="H173" t="n">
        <v>0.0</v>
      </c>
      <c r="I173" t="s" s="37">
        <v>343</v>
      </c>
    </row>
    <row r="174">
      <c r="A174">
        <f>'868-6'!N6:O6</f>
      </c>
      <c r="B174" t="s" s="37">
        <v>367</v>
      </c>
      <c r="D174" t="s" s="37">
        <v>73</v>
      </c>
      <c r="E174" t="b">
        <v>1</v>
      </c>
      <c r="F174" t="b">
        <v>0</v>
      </c>
      <c r="G174" t="n">
        <v>0.0</v>
      </c>
      <c r="H174" t="n">
        <v>0.0</v>
      </c>
      <c r="I174" t="s" s="37">
        <v>343</v>
      </c>
    </row>
    <row r="175">
      <c r="A175">
        <f>'868-6'!O6:P6</f>
      </c>
      <c r="B175" t="s" s="37">
        <v>369</v>
      </c>
      <c r="D175" t="s" s="37">
        <v>73</v>
      </c>
      <c r="E175" t="b">
        <v>1</v>
      </c>
      <c r="F175" t="b">
        <v>0</v>
      </c>
      <c r="G175" t="n">
        <v>0.0</v>
      </c>
      <c r="H175" t="n">
        <v>0.0</v>
      </c>
      <c r="I175" t="s" s="37">
        <v>343</v>
      </c>
    </row>
    <row r="176">
      <c r="A176">
        <f>'868-6'!P6:Q6</f>
      </c>
      <c r="B176" t="s" s="37">
        <v>370</v>
      </c>
      <c r="D176" t="s" s="37">
        <v>73</v>
      </c>
      <c r="E176" t="b">
        <v>1</v>
      </c>
      <c r="F176" t="b">
        <v>0</v>
      </c>
      <c r="G176" t="n">
        <v>0.0</v>
      </c>
      <c r="H176" t="n">
        <v>0.0</v>
      </c>
      <c r="I176" t="s" s="37">
        <v>343</v>
      </c>
    </row>
    <row r="177">
      <c r="A177">
        <f>'868-6'!Q5:R5</f>
      </c>
      <c r="B177" t="s" s="37">
        <v>373</v>
      </c>
      <c r="D177" t="s" s="37">
        <v>73</v>
      </c>
      <c r="E177" t="b">
        <v>1</v>
      </c>
      <c r="F177" t="b">
        <v>0</v>
      </c>
      <c r="G177" t="n">
        <v>0.0</v>
      </c>
      <c r="H177" t="n">
        <v>0.0</v>
      </c>
      <c r="I177" t="s" s="37">
        <v>343</v>
      </c>
    </row>
    <row r="178">
      <c r="A178">
        <f>'868-6'!R5:S5</f>
      </c>
      <c r="B178" t="s" s="37">
        <v>375</v>
      </c>
      <c r="D178" t="s" s="37">
        <v>73</v>
      </c>
      <c r="E178" t="b">
        <v>1</v>
      </c>
      <c r="F178" t="b">
        <v>0</v>
      </c>
      <c r="G178" t="n">
        <v>0.0</v>
      </c>
      <c r="H178" t="n">
        <v>0.0</v>
      </c>
      <c r="I178" t="s" s="37">
        <v>343</v>
      </c>
    </row>
    <row r="179">
      <c r="A179">
        <f>'868-6'!C8:C9</f>
      </c>
      <c r="D179" t="s" s="37">
        <v>35</v>
      </c>
      <c r="E179" t="b">
        <v>1</v>
      </c>
      <c r="F179" t="b">
        <v>0</v>
      </c>
      <c r="G179" t="n">
        <v>1.0</v>
      </c>
      <c r="H179" t="n">
        <v>0.0</v>
      </c>
      <c r="I179" t="s" s="37">
        <v>343</v>
      </c>
      <c r="P179">
        <f>'868-6'!C8:C9</f>
      </c>
    </row>
  </sheetData>
  <sheetProtection password="0000" sheet="true" scenarios="true" objects="true" formatColumns="false" formatRows="false"/>
  <pageMargins bottom="0.75" footer="0.3" header="0.3" left="0.7" right="0.7" top="0.75"/>
</worksheet>
</file>

<file path=xl/worksheets/sheet5.xml><?xml version="1.0" encoding="utf-8"?>
<worksheet xmlns="http://schemas.openxmlformats.org/spreadsheetml/2006/main">
  <sheetPr>
    <pageSetUpPr fitToPage="true"/>
  </sheetPr>
  <dimension ref="B1:I11"/>
  <sheetViews>
    <sheetView workbookViewId="0" showGridLines="false" rightToLeft="true"/>
  </sheetViews>
  <sheetFormatPr defaultRowHeight="15.0"/>
  <cols>
    <col min="5" max="5" width="12.0" customWidth="true"/>
    <col min="6" max="6" width="20.0" customWidth="true"/>
    <col min="7" max="7" width="20.0" customWidth="true"/>
    <col min="8" max="8" width="20.0" customWidth="true"/>
    <col min="3" max="3" width="80.0" customWidth="true"/>
    <col min="4" max="4" width="12.0" customWidth="true"/>
  </cols>
  <sheetData>
    <row r="1">
      <c r="B1" t="s" s="29">
        <v>16</v>
      </c>
      <c r="C1" t="s" s="28">
        <v>68</v>
      </c>
    </row>
    <row r="2">
      <c r="B2" t="s" s="12">
        <v>69</v>
      </c>
    </row>
    <row r="4">
      <c r="E4" s="3" t="s">
        <v>33</v>
      </c>
      <c r="F4" s="3"/>
      <c r="G4" s="3"/>
      <c r="H4" s="3"/>
    </row>
    <row r="5">
      <c r="E5" s="3" t="s">
        <v>72</v>
      </c>
      <c r="F5" s="3" t="s">
        <v>81</v>
      </c>
      <c r="G5" s="3"/>
      <c r="H5" s="3"/>
    </row>
    <row r="6">
      <c r="E6" s="49"/>
      <c r="F6" s="40" t="s">
        <v>75</v>
      </c>
      <c r="G6" s="40" t="s">
        <v>77</v>
      </c>
      <c r="H6" s="40" t="s">
        <v>79</v>
      </c>
    </row>
    <row r="7">
      <c r="C7" s="2" t="s">
        <v>88</v>
      </c>
      <c r="E7" s="2" t="s">
        <v>56</v>
      </c>
      <c r="F7" s="2" t="s">
        <v>57</v>
      </c>
      <c r="G7" s="2" t="s">
        <v>58</v>
      </c>
      <c r="H7" s="2" t="s">
        <v>59</v>
      </c>
    </row>
    <row r="8">
      <c r="C8" s="41" t="s">
        <v>33</v>
      </c>
      <c r="D8" s="2" t="s">
        <v>33</v>
      </c>
      <c r="E8" s="45"/>
      <c r="F8" s="50"/>
      <c r="G8" s="50"/>
      <c r="H8" s="50"/>
    </row>
    <row r="9">
      <c r="C9" s="42" t="s">
        <v>87</v>
      </c>
      <c r="D9" s="2" t="s">
        <v>33</v>
      </c>
      <c r="E9" s="44"/>
      <c r="F9" s="26"/>
      <c r="G9" s="26"/>
      <c r="H9" s="26"/>
    </row>
    <row r="10">
      <c r="C10" s="43" t="s">
        <v>82</v>
      </c>
      <c r="D10" s="2" t="s">
        <v>56</v>
      </c>
      <c r="E10" s="51"/>
      <c r="F10" s="14"/>
      <c r="G10" s="14"/>
      <c r="H10" s="14"/>
    </row>
    <row r="11">
      <c r="C11" s="43" t="s">
        <v>85</v>
      </c>
      <c r="D11" s="2" t="s">
        <v>57</v>
      </c>
      <c r="E11" s="51"/>
      <c r="F11" s="14"/>
      <c r="G11" s="14"/>
      <c r="H11" s="14"/>
    </row>
  </sheetData>
  <sheetProtection password="0000" sheet="true" scenarios="true" objects="true" formatColumns="false" formatRows="false"/>
  <protectedRanges>
    <protectedRange name="unlocked_Sheet4_Table0" sqref="E10:H11"/>
  </protectedRanges>
  <mergeCells>
    <mergeCell ref="E5:E6"/>
    <mergeCell ref="F5:H5"/>
    <mergeCell ref="E4:H4"/>
    <mergeCell ref="B2:C2"/>
    <mergeCell ref="C1:H1"/>
  </mergeCells>
  <dataValidations count="1">
    <dataValidation type="decimal" operator="notEqual" sqref="E10:H11" allowBlank="true" errorStyle="stop" showErrorMessage="true" errorTitle="Invalid Value" error="This cell must contain a number.">
      <formula1>FALSE</formula1>
      <formula2>FALSE</formula2>
    </dataValidation>
  </dataValidations>
  <pageMargins bottom="0.75" footer="0.3" header="0.3" left="0.7" right="0.7" top="0.75"/>
  <pageSetup orientation="landscape" fitToWidth="1" fitToHeight="0"/>
  <ignoredErrors>
    <ignoredError sqref="F6" numberStoredAsText="true"/>
    <ignoredError sqref="G6" numberStoredAsText="true"/>
    <ignoredError sqref="H6" numberStoredAsText="true"/>
    <ignoredError sqref="E7" numberStoredAsText="true"/>
    <ignoredError sqref="F7" numberStoredAsText="true"/>
    <ignoredError sqref="G7" numberStoredAsText="true"/>
    <ignoredError sqref="H7" numberStoredAsText="true"/>
    <ignoredError sqref="D10" numberStoredAsText="true"/>
    <ignoredError sqref="D11" numberStoredAsText="true"/>
  </ignoredErrors>
</worksheet>
</file>

<file path=xl/worksheets/sheet6.xml><?xml version="1.0" encoding="utf-8"?>
<worksheet xmlns="http://schemas.openxmlformats.org/spreadsheetml/2006/main">
  <sheetPr>
    <pageSetUpPr fitToPage="true"/>
  </sheetPr>
  <dimension ref="B1:AP26"/>
  <sheetViews>
    <sheetView workbookViewId="0" showGridLines="false" rightToLeft="true"/>
  </sheetViews>
  <sheetFormatPr defaultRowHeight="15.0"/>
  <cols>
    <col min="5" max="5" width="12.0" customWidth="true"/>
    <col min="6" max="6" width="12.0" customWidth="true"/>
    <col min="7" max="7" width="20.0" customWidth="true"/>
    <col min="8" max="8" width="20.0" customWidth="true"/>
    <col min="9" max="9" width="20.0" customWidth="true"/>
    <col min="10" max="10" width="40.0" customWidth="true"/>
    <col min="11" max="11" width="12.0" customWidth="true"/>
    <col min="12" max="12" width="20.0" customWidth="true"/>
    <col min="13" max="13" width="20.0" customWidth="true"/>
    <col min="14" max="14" width="20.0" customWidth="true"/>
    <col min="15" max="15" width="20.0" customWidth="true"/>
    <col min="16" max="16" width="20.0" customWidth="true"/>
    <col min="17" max="17" width="40.0" customWidth="true"/>
    <col min="18" max="18" width="40.0" customWidth="true"/>
    <col min="19" max="19" width="12.0" customWidth="true"/>
    <col min="20" max="20" width="20.0" customWidth="true"/>
    <col min="21" max="21" width="20.0" customWidth="true"/>
    <col min="22" max="22" width="20.0" customWidth="true"/>
    <col min="23" max="23" width="12.0" customWidth="true"/>
    <col min="24" max="24" width="20.0" customWidth="true"/>
    <col min="25" max="25" width="20.0" customWidth="true"/>
    <col min="26" max="26" width="40.0" customWidth="true"/>
    <col min="27" max="27" width="20.0" customWidth="true"/>
    <col min="28" max="28" width="20.0" customWidth="true"/>
    <col min="29" max="29" width="20.0" customWidth="true"/>
    <col min="30" max="30" width="20.0" customWidth="true"/>
    <col min="31" max="31" width="12.0" customWidth="true"/>
    <col min="32" max="32" width="20.0" customWidth="true"/>
    <col min="33" max="33" width="40.0" customWidth="true"/>
    <col min="34" max="34" width="40.0" customWidth="true"/>
    <col min="35" max="35" width="40.0" customWidth="true"/>
    <col min="36" max="36" width="40.0" customWidth="true"/>
    <col min="37" max="37" width="40.0" customWidth="true"/>
    <col min="38" max="38" width="20.0" customWidth="true"/>
    <col min="39" max="39" width="20.0" customWidth="true"/>
    <col min="40" max="40" width="40.0" customWidth="true"/>
    <col min="41" max="41" width="40.0" customWidth="true"/>
    <col min="3" max="3" width="80.0" customWidth="true"/>
    <col min="4" max="4" width="12.0" customWidth="true"/>
  </cols>
  <sheetData>
    <row r="1">
      <c r="B1" t="s" s="29">
        <v>16</v>
      </c>
      <c r="C1" t="s" s="28">
        <v>68</v>
      </c>
    </row>
    <row r="2">
      <c r="B2" t="s" s="12">
        <v>89</v>
      </c>
    </row>
    <row r="4">
      <c r="E4" s="3" t="s">
        <v>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>
      <c r="E5" s="3" t="s">
        <v>72</v>
      </c>
      <c r="F5" s="3" t="s">
        <v>172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>
      <c r="E6" s="52"/>
      <c r="F6" s="3" t="s">
        <v>102</v>
      </c>
      <c r="G6" s="3"/>
      <c r="H6" s="3"/>
      <c r="I6" s="3"/>
      <c r="J6" s="3"/>
      <c r="K6" s="3" t="s">
        <v>162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 t="s">
        <v>171</v>
      </c>
      <c r="AM6" s="3"/>
      <c r="AN6" s="3"/>
      <c r="AO6" s="3"/>
    </row>
    <row r="7">
      <c r="E7" s="52"/>
      <c r="F7" s="3" t="s">
        <v>92</v>
      </c>
      <c r="G7" s="3" t="s">
        <v>94</v>
      </c>
      <c r="H7" s="3" t="s">
        <v>96</v>
      </c>
      <c r="I7" s="3" t="s">
        <v>98</v>
      </c>
      <c r="J7" s="3" t="s">
        <v>100</v>
      </c>
      <c r="K7" s="3" t="s">
        <v>119</v>
      </c>
      <c r="L7" s="3"/>
      <c r="M7" s="3"/>
      <c r="N7" s="3"/>
      <c r="O7" s="3"/>
      <c r="P7" s="3"/>
      <c r="Q7" s="3"/>
      <c r="R7" s="3"/>
      <c r="S7" s="3" t="s">
        <v>128</v>
      </c>
      <c r="T7" s="3"/>
      <c r="U7" s="3"/>
      <c r="V7" s="3"/>
      <c r="W7" s="3" t="s">
        <v>137</v>
      </c>
      <c r="X7" s="3"/>
      <c r="Y7" s="3"/>
      <c r="Z7" s="3"/>
      <c r="AA7" s="3" t="s">
        <v>146</v>
      </c>
      <c r="AB7" s="3"/>
      <c r="AC7" s="3"/>
      <c r="AD7" s="3"/>
      <c r="AE7" s="3" t="s">
        <v>161</v>
      </c>
      <c r="AF7" s="3"/>
      <c r="AG7" s="3"/>
      <c r="AH7" s="3"/>
      <c r="AI7" s="3"/>
      <c r="AJ7" s="3"/>
      <c r="AK7" s="3"/>
      <c r="AL7" s="3" t="s">
        <v>163</v>
      </c>
      <c r="AM7" s="3" t="s">
        <v>165</v>
      </c>
      <c r="AN7" s="3" t="s">
        <v>167</v>
      </c>
      <c r="AO7" s="3" t="s">
        <v>169</v>
      </c>
    </row>
    <row r="8" ht="30.0" customHeight="true">
      <c r="E8" s="49"/>
      <c r="F8" s="49"/>
      <c r="G8" s="49"/>
      <c r="H8" s="49"/>
      <c r="I8" s="49"/>
      <c r="J8" s="49"/>
      <c r="K8" s="40" t="s">
        <v>103</v>
      </c>
      <c r="L8" s="40" t="s">
        <v>105</v>
      </c>
      <c r="M8" s="40" t="s">
        <v>107</v>
      </c>
      <c r="N8" s="40" t="s">
        <v>109</v>
      </c>
      <c r="O8" s="40" t="s">
        <v>111</v>
      </c>
      <c r="P8" s="40" t="s">
        <v>113</v>
      </c>
      <c r="Q8" s="40" t="s">
        <v>115</v>
      </c>
      <c r="R8" s="40" t="s">
        <v>117</v>
      </c>
      <c r="S8" s="40" t="s">
        <v>120</v>
      </c>
      <c r="T8" s="40" t="s">
        <v>122</v>
      </c>
      <c r="U8" s="40" t="s">
        <v>124</v>
      </c>
      <c r="V8" s="40" t="s">
        <v>126</v>
      </c>
      <c r="W8" s="40" t="s">
        <v>129</v>
      </c>
      <c r="X8" s="40" t="s">
        <v>131</v>
      </c>
      <c r="Y8" s="40" t="s">
        <v>133</v>
      </c>
      <c r="Z8" s="40" t="s">
        <v>135</v>
      </c>
      <c r="AA8" s="40" t="s">
        <v>138</v>
      </c>
      <c r="AB8" s="40" t="s">
        <v>140</v>
      </c>
      <c r="AC8" s="40" t="s">
        <v>142</v>
      </c>
      <c r="AD8" s="40" t="s">
        <v>144</v>
      </c>
      <c r="AE8" s="40" t="s">
        <v>147</v>
      </c>
      <c r="AF8" s="40" t="s">
        <v>149</v>
      </c>
      <c r="AG8" s="40" t="s">
        <v>151</v>
      </c>
      <c r="AH8" s="40" t="s">
        <v>153</v>
      </c>
      <c r="AI8" s="40" t="s">
        <v>155</v>
      </c>
      <c r="AJ8" s="40" t="s">
        <v>157</v>
      </c>
      <c r="AK8" s="40" t="s">
        <v>159</v>
      </c>
      <c r="AL8" s="49"/>
      <c r="AM8" s="49"/>
      <c r="AN8" s="49"/>
      <c r="AO8" s="49"/>
    </row>
    <row r="9">
      <c r="C9" s="2" t="s">
        <v>193</v>
      </c>
      <c r="E9" s="2" t="s">
        <v>56</v>
      </c>
      <c r="F9" s="2" t="s">
        <v>57</v>
      </c>
      <c r="G9" s="2" t="s">
        <v>58</v>
      </c>
      <c r="H9" s="2" t="s">
        <v>59</v>
      </c>
      <c r="I9" s="2" t="s">
        <v>60</v>
      </c>
      <c r="J9" s="2" t="s">
        <v>61</v>
      </c>
      <c r="K9" s="2" t="s">
        <v>62</v>
      </c>
      <c r="L9" s="2" t="s">
        <v>63</v>
      </c>
      <c r="M9" s="2" t="s">
        <v>64</v>
      </c>
      <c r="N9" s="2" t="s">
        <v>65</v>
      </c>
      <c r="O9" s="2" t="s">
        <v>66</v>
      </c>
      <c r="P9" s="2" t="s">
        <v>67</v>
      </c>
      <c r="Q9" s="2" t="s">
        <v>194</v>
      </c>
      <c r="R9" s="2" t="s">
        <v>195</v>
      </c>
      <c r="S9" s="2" t="s">
        <v>196</v>
      </c>
      <c r="T9" s="2" t="s">
        <v>197</v>
      </c>
      <c r="U9" s="2" t="s">
        <v>198</v>
      </c>
      <c r="V9" s="2" t="s">
        <v>199</v>
      </c>
      <c r="W9" s="2" t="s">
        <v>200</v>
      </c>
      <c r="X9" s="2" t="s">
        <v>201</v>
      </c>
      <c r="Y9" s="2" t="s">
        <v>202</v>
      </c>
      <c r="Z9" s="2" t="s">
        <v>203</v>
      </c>
      <c r="AA9" s="2" t="s">
        <v>204</v>
      </c>
      <c r="AB9" s="2" t="s">
        <v>205</v>
      </c>
      <c r="AC9" s="2" t="s">
        <v>206</v>
      </c>
      <c r="AD9" s="2" t="s">
        <v>207</v>
      </c>
      <c r="AE9" s="2" t="s">
        <v>208</v>
      </c>
      <c r="AF9" s="2" t="s">
        <v>209</v>
      </c>
      <c r="AG9" s="2" t="s">
        <v>210</v>
      </c>
      <c r="AH9" s="2" t="s">
        <v>211</v>
      </c>
      <c r="AI9" s="2" t="s">
        <v>212</v>
      </c>
      <c r="AJ9" s="2" t="s">
        <v>213</v>
      </c>
      <c r="AK9" s="2" t="s">
        <v>214</v>
      </c>
      <c r="AL9" s="2" t="s">
        <v>215</v>
      </c>
      <c r="AM9" s="2" t="s">
        <v>216</v>
      </c>
      <c r="AN9" s="2" t="s">
        <v>217</v>
      </c>
      <c r="AO9" s="2" t="s">
        <v>218</v>
      </c>
    </row>
    <row r="10">
      <c r="C10" s="41" t="s">
        <v>191</v>
      </c>
      <c r="D10" s="2" t="s">
        <v>33</v>
      </c>
      <c r="E10" s="45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  <c r="AB10" s="50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</row>
    <row r="11">
      <c r="C11" s="42" t="s">
        <v>187</v>
      </c>
      <c r="D11" s="2" t="s">
        <v>33</v>
      </c>
      <c r="E11" s="44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</row>
    <row r="12">
      <c r="C12" s="43" t="s">
        <v>173</v>
      </c>
      <c r="D12" s="2" t="s">
        <v>56</v>
      </c>
      <c r="E12" s="56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</row>
    <row r="13">
      <c r="C13" s="43" t="s">
        <v>174</v>
      </c>
      <c r="D13" s="2" t="s">
        <v>57</v>
      </c>
      <c r="E13" s="56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26"/>
      <c r="AM13" s="26"/>
      <c r="AN13" s="26"/>
      <c r="AO13" s="26"/>
    </row>
    <row r="14">
      <c r="C14" s="43" t="s">
        <v>186</v>
      </c>
      <c r="D14" s="2" t="s">
        <v>33</v>
      </c>
      <c r="E14" s="44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</row>
    <row r="15">
      <c r="C15" s="54" t="s">
        <v>177</v>
      </c>
      <c r="D15" s="2" t="s">
        <v>58</v>
      </c>
      <c r="E15" s="56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</row>
    <row r="16">
      <c r="C16" s="54" t="s">
        <v>180</v>
      </c>
      <c r="D16" s="2" t="s">
        <v>59</v>
      </c>
      <c r="E16" s="56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</row>
    <row r="17">
      <c r="C17" s="54" t="s">
        <v>182</v>
      </c>
      <c r="D17" s="2" t="s">
        <v>60</v>
      </c>
      <c r="E17" s="56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</row>
    <row r="18">
      <c r="C18" s="54" t="s">
        <v>184</v>
      </c>
      <c r="D18" s="2" t="s">
        <v>61</v>
      </c>
      <c r="E18" s="56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</row>
    <row r="19">
      <c r="C19" s="42" t="s">
        <v>188</v>
      </c>
      <c r="D19" s="2" t="s">
        <v>33</v>
      </c>
      <c r="E19" s="44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</row>
    <row r="20">
      <c r="C20" s="43" t="s">
        <v>173</v>
      </c>
      <c r="D20" s="2" t="s">
        <v>62</v>
      </c>
      <c r="E20" s="56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</row>
    <row r="21">
      <c r="C21" s="43" t="s">
        <v>174</v>
      </c>
      <c r="D21" s="2" t="s">
        <v>63</v>
      </c>
      <c r="E21" s="56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26"/>
      <c r="AM21" s="26"/>
      <c r="AN21" s="26"/>
      <c r="AO21" s="26"/>
    </row>
    <row r="22">
      <c r="C22" s="43" t="s">
        <v>186</v>
      </c>
      <c r="D22" s="2" t="s">
        <v>33</v>
      </c>
      <c r="E22" s="44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</row>
    <row r="23">
      <c r="C23" s="54" t="s">
        <v>177</v>
      </c>
      <c r="D23" s="2" t="s">
        <v>64</v>
      </c>
      <c r="E23" s="56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55"/>
      <c r="AE23" s="55"/>
      <c r="AF23" s="55"/>
      <c r="AG23" s="55"/>
      <c r="AH23" s="55"/>
      <c r="AI23" s="55"/>
      <c r="AJ23" s="55"/>
      <c r="AK23" s="55"/>
      <c r="AL23" s="55"/>
      <c r="AM23" s="55"/>
      <c r="AN23" s="55"/>
      <c r="AO23" s="55"/>
    </row>
    <row r="24">
      <c r="C24" s="54" t="s">
        <v>180</v>
      </c>
      <c r="D24" s="2" t="s">
        <v>65</v>
      </c>
      <c r="E24" s="56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</row>
    <row r="25">
      <c r="C25" s="54" t="s">
        <v>182</v>
      </c>
      <c r="D25" s="2" t="s">
        <v>66</v>
      </c>
      <c r="E25" s="56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55"/>
      <c r="AE25" s="55"/>
      <c r="AF25" s="55"/>
      <c r="AG25" s="55"/>
      <c r="AH25" s="55"/>
      <c r="AI25" s="55"/>
      <c r="AJ25" s="55"/>
      <c r="AK25" s="55"/>
      <c r="AL25" s="55"/>
      <c r="AM25" s="55"/>
      <c r="AN25" s="55"/>
      <c r="AO25" s="55"/>
    </row>
    <row r="26">
      <c r="C26" s="54" t="s">
        <v>184</v>
      </c>
      <c r="D26" s="2" t="s">
        <v>67</v>
      </c>
      <c r="E26" s="56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55"/>
      <c r="AE26" s="55"/>
      <c r="AF26" s="55"/>
      <c r="AG26" s="55"/>
      <c r="AH26" s="55"/>
      <c r="AI26" s="55"/>
      <c r="AJ26" s="55"/>
      <c r="AK26" s="55"/>
      <c r="AL26" s="55"/>
      <c r="AM26" s="55"/>
      <c r="AN26" s="55"/>
      <c r="AO26" s="55"/>
    </row>
  </sheetData>
  <sheetProtection password="0000" sheet="true" scenarios="true" objects="true" formatColumns="false" formatRows="false"/>
  <protectedRanges>
    <protectedRange name="unlocked_Sheet5_Table0" sqref="E12:AK13 AL12:AO12 E15:AO18 E20:AK21 AL20:AO20 E23:AO26"/>
  </protectedRanges>
  <mergeCells>
    <mergeCell ref="E5:E8"/>
    <mergeCell ref="F7:F8"/>
    <mergeCell ref="G7:G8"/>
    <mergeCell ref="H7:H8"/>
    <mergeCell ref="I7:I8"/>
    <mergeCell ref="J7:J8"/>
    <mergeCell ref="F6:J6"/>
    <mergeCell ref="K7:R7"/>
    <mergeCell ref="S7:V7"/>
    <mergeCell ref="W7:Z7"/>
    <mergeCell ref="AA7:AD7"/>
    <mergeCell ref="AE7:AK7"/>
    <mergeCell ref="K6:AK6"/>
    <mergeCell ref="AL7:AL8"/>
    <mergeCell ref="AM7:AM8"/>
    <mergeCell ref="AN7:AN8"/>
    <mergeCell ref="AO7:AO8"/>
    <mergeCell ref="AL6:AO6"/>
    <mergeCell ref="F5:AO5"/>
    <mergeCell ref="E4:AO4"/>
    <mergeCell ref="B2:C2"/>
    <mergeCell ref="C1:H1"/>
  </mergeCells>
  <dataValidations count="1">
    <dataValidation type="whole" operator="notEqual" sqref="E12:AK13 AL12:AO12 E15:AO18 E20:AK21 AL20:AO20 E23:AO26" allowBlank="true" errorStyle="stop" showErrorMessage="true" errorTitle="Invalid Value" error="This cell must contain a whole number.">
      <formula1>FALSE</formula1>
      <formula2>FALSE</formula2>
    </dataValidation>
  </dataValidations>
  <pageMargins bottom="0.75" footer="0.3" header="0.3" left="0.7" right="0.7" top="0.75"/>
  <pageSetup orientation="landscape" fitToWidth="1" fitToHeight="0"/>
  <ignoredErrors>
    <ignoredError sqref="C15" numberStoredAsText="true"/>
    <ignoredError sqref="C17" numberStoredAsText="true"/>
    <ignoredError sqref="C23" numberStoredAsText="true"/>
    <ignoredError sqref="C25" numberStoredAsText="true"/>
    <ignoredError sqref="E9" numberStoredAsText="true"/>
    <ignoredError sqref="F9" numberStoredAsText="true"/>
    <ignoredError sqref="G9" numberStoredAsText="true"/>
    <ignoredError sqref="H9" numberStoredAsText="true"/>
    <ignoredError sqref="I9" numberStoredAsText="true"/>
    <ignoredError sqref="J9" numberStoredAsText="true"/>
    <ignoredError sqref="K9" numberStoredAsText="true"/>
    <ignoredError sqref="L9" numberStoredAsText="true"/>
    <ignoredError sqref="M9" numberStoredAsText="true"/>
    <ignoredError sqref="N9" numberStoredAsText="true"/>
    <ignoredError sqref="O9" numberStoredAsText="true"/>
    <ignoredError sqref="P9" numberStoredAsText="true"/>
    <ignoredError sqref="Q9" numberStoredAsText="true"/>
    <ignoredError sqref="R9" numberStoredAsText="true"/>
    <ignoredError sqref="S9" numberStoredAsText="true"/>
    <ignoredError sqref="T9" numberStoredAsText="true"/>
    <ignoredError sqref="U9" numberStoredAsText="true"/>
    <ignoredError sqref="V9" numberStoredAsText="true"/>
    <ignoredError sqref="W9" numberStoredAsText="true"/>
    <ignoredError sqref="X9" numberStoredAsText="true"/>
    <ignoredError sqref="Y9" numberStoredAsText="true"/>
    <ignoredError sqref="Z9" numberStoredAsText="true"/>
    <ignoredError sqref="AA9" numberStoredAsText="true"/>
    <ignoredError sqref="AB9" numberStoredAsText="true"/>
    <ignoredError sqref="AC9" numberStoredAsText="true"/>
    <ignoredError sqref="AD9" numberStoredAsText="true"/>
    <ignoredError sqref="AE9" numberStoredAsText="true"/>
    <ignoredError sqref="AF9" numberStoredAsText="true"/>
    <ignoredError sqref="AG9" numberStoredAsText="true"/>
    <ignoredError sqref="AH9" numberStoredAsText="true"/>
    <ignoredError sqref="AI9" numberStoredAsText="true"/>
    <ignoredError sqref="AJ9" numberStoredAsText="true"/>
    <ignoredError sqref="AK9" numberStoredAsText="true"/>
    <ignoredError sqref="AL9" numberStoredAsText="true"/>
    <ignoredError sqref="AM9" numberStoredAsText="true"/>
    <ignoredError sqref="AN9" numberStoredAsText="true"/>
    <ignoredError sqref="AO9" numberStoredAsText="true"/>
    <ignoredError sqref="D12" numberStoredAsText="true"/>
    <ignoredError sqref="D13" numberStoredAsText="true"/>
    <ignoredError sqref="D15" numberStoredAsText="true"/>
    <ignoredError sqref="D16" numberStoredAsText="true"/>
    <ignoredError sqref="D17" numberStoredAsText="true"/>
    <ignoredError sqref="D18" numberStoredAsText="true"/>
    <ignoredError sqref="D20" numberStoredAsText="true"/>
    <ignoredError sqref="D21" numberStoredAsText="true"/>
    <ignoredError sqref="D23" numberStoredAsText="true"/>
    <ignoredError sqref="D24" numberStoredAsText="true"/>
    <ignoredError sqref="D25" numberStoredAsText="true"/>
    <ignoredError sqref="D26" numberStoredAsText="true"/>
  </ignoredErrors>
</worksheet>
</file>

<file path=xl/worksheets/sheet7.xml><?xml version="1.0" encoding="utf-8"?>
<worksheet xmlns="http://schemas.openxmlformats.org/spreadsheetml/2006/main">
  <sheetPr>
    <pageSetUpPr fitToPage="true"/>
  </sheetPr>
  <dimension ref="B1:AK11"/>
  <sheetViews>
    <sheetView workbookViewId="0" showGridLines="false" rightToLeft="true"/>
  </sheetViews>
  <sheetFormatPr defaultRowHeight="15.0"/>
  <cols>
    <col min="5" max="5" width="12.0" customWidth="true"/>
    <col min="6" max="6" width="20.0" customWidth="true"/>
    <col min="7" max="7" width="20.0" customWidth="true"/>
    <col min="8" max="8" width="20.0" customWidth="true"/>
    <col min="9" max="9" width="40.0" customWidth="true"/>
    <col min="10" max="10" width="12.0" customWidth="true"/>
    <col min="11" max="11" width="20.0" customWidth="true"/>
    <col min="12" max="12" width="20.0" customWidth="true"/>
    <col min="13" max="13" width="20.0" customWidth="true"/>
    <col min="14" max="14" width="20.0" customWidth="true"/>
    <col min="15" max="15" width="20.0" customWidth="true"/>
    <col min="16" max="16" width="40.0" customWidth="true"/>
    <col min="17" max="17" width="40.0" customWidth="true"/>
    <col min="18" max="18" width="12.0" customWidth="true"/>
    <col min="19" max="19" width="20.0" customWidth="true"/>
    <col min="20" max="20" width="20.0" customWidth="true"/>
    <col min="21" max="21" width="20.0" customWidth="true"/>
    <col min="22" max="22" width="12.0" customWidth="true"/>
    <col min="23" max="23" width="20.0" customWidth="true"/>
    <col min="24" max="24" width="20.0" customWidth="true"/>
    <col min="25" max="25" width="40.0" customWidth="true"/>
    <col min="26" max="26" width="20.0" customWidth="true"/>
    <col min="27" max="27" width="20.0" customWidth="true"/>
    <col min="28" max="28" width="20.0" customWidth="true"/>
    <col min="29" max="29" width="20.0" customWidth="true"/>
    <col min="30" max="30" width="12.0" customWidth="true"/>
    <col min="31" max="31" width="20.0" customWidth="true"/>
    <col min="32" max="32" width="40.0" customWidth="true"/>
    <col min="33" max="33" width="40.0" customWidth="true"/>
    <col min="34" max="34" width="40.0" customWidth="true"/>
    <col min="35" max="35" width="40.0" customWidth="true"/>
    <col min="36" max="36" width="40.0" customWidth="true"/>
    <col min="3" max="3" width="80.0" customWidth="true"/>
    <col min="4" max="4" width="12.0" customWidth="true"/>
  </cols>
  <sheetData>
    <row r="1">
      <c r="B1" t="s" s="29">
        <v>16</v>
      </c>
      <c r="C1" t="s" s="28">
        <v>68</v>
      </c>
    </row>
    <row r="2">
      <c r="B2" t="s" s="12">
        <v>219</v>
      </c>
    </row>
    <row r="4">
      <c r="E4" s="3" t="s">
        <v>33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>
      <c r="E5" s="3" t="s">
        <v>102</v>
      </c>
      <c r="F5" s="3"/>
      <c r="G5" s="3"/>
      <c r="H5" s="3"/>
      <c r="I5" s="3"/>
      <c r="J5" s="3" t="s">
        <v>162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>
      <c r="E6" s="3" t="s">
        <v>92</v>
      </c>
      <c r="F6" s="3" t="s">
        <v>94</v>
      </c>
      <c r="G6" s="3" t="s">
        <v>96</v>
      </c>
      <c r="H6" s="3" t="s">
        <v>98</v>
      </c>
      <c r="I6" s="3" t="s">
        <v>100</v>
      </c>
      <c r="J6" s="3" t="s">
        <v>119</v>
      </c>
      <c r="K6" s="3"/>
      <c r="L6" s="3"/>
      <c r="M6" s="3"/>
      <c r="N6" s="3"/>
      <c r="O6" s="3"/>
      <c r="P6" s="3"/>
      <c r="Q6" s="3"/>
      <c r="R6" s="3" t="s">
        <v>128</v>
      </c>
      <c r="S6" s="3"/>
      <c r="T6" s="3"/>
      <c r="U6" s="3"/>
      <c r="V6" s="3" t="s">
        <v>137</v>
      </c>
      <c r="W6" s="3"/>
      <c r="X6" s="3"/>
      <c r="Y6" s="3"/>
      <c r="Z6" s="3" t="s">
        <v>146</v>
      </c>
      <c r="AA6" s="3"/>
      <c r="AB6" s="3"/>
      <c r="AC6" s="3"/>
      <c r="AD6" s="3" t="s">
        <v>161</v>
      </c>
      <c r="AE6" s="3"/>
      <c r="AF6" s="3"/>
      <c r="AG6" s="3"/>
      <c r="AH6" s="3"/>
      <c r="AI6" s="3"/>
      <c r="AJ6" s="3"/>
    </row>
    <row r="7">
      <c r="E7" s="49"/>
      <c r="F7" s="49"/>
      <c r="G7" s="49"/>
      <c r="H7" s="49"/>
      <c r="I7" s="49"/>
      <c r="J7" s="40" t="s">
        <v>103</v>
      </c>
      <c r="K7" s="40" t="s">
        <v>105</v>
      </c>
      <c r="L7" s="40" t="s">
        <v>107</v>
      </c>
      <c r="M7" s="40" t="s">
        <v>109</v>
      </c>
      <c r="N7" s="40" t="s">
        <v>111</v>
      </c>
      <c r="O7" s="40" t="s">
        <v>113</v>
      </c>
      <c r="P7" s="40" t="s">
        <v>115</v>
      </c>
      <c r="Q7" s="40" t="s">
        <v>117</v>
      </c>
      <c r="R7" s="40" t="s">
        <v>120</v>
      </c>
      <c r="S7" s="40" t="s">
        <v>122</v>
      </c>
      <c r="T7" s="40" t="s">
        <v>124</v>
      </c>
      <c r="U7" s="40" t="s">
        <v>126</v>
      </c>
      <c r="V7" s="40" t="s">
        <v>129</v>
      </c>
      <c r="W7" s="40" t="s">
        <v>131</v>
      </c>
      <c r="X7" s="40" t="s">
        <v>133</v>
      </c>
      <c r="Y7" s="40" t="s">
        <v>135</v>
      </c>
      <c r="Z7" s="40" t="s">
        <v>138</v>
      </c>
      <c r="AA7" s="40" t="s">
        <v>140</v>
      </c>
      <c r="AB7" s="40" t="s">
        <v>142</v>
      </c>
      <c r="AC7" s="40" t="s">
        <v>144</v>
      </c>
      <c r="AD7" s="40" t="s">
        <v>147</v>
      </c>
      <c r="AE7" s="40" t="s">
        <v>149</v>
      </c>
      <c r="AF7" s="40" t="s">
        <v>151</v>
      </c>
      <c r="AG7" s="40" t="s">
        <v>153</v>
      </c>
      <c r="AH7" s="40" t="s">
        <v>155</v>
      </c>
      <c r="AI7" s="40" t="s">
        <v>157</v>
      </c>
      <c r="AJ7" s="40" t="s">
        <v>159</v>
      </c>
    </row>
    <row r="8">
      <c r="C8" s="2" t="s">
        <v>224</v>
      </c>
      <c r="E8" s="2" t="s">
        <v>56</v>
      </c>
      <c r="F8" s="2" t="s">
        <v>57</v>
      </c>
      <c r="G8" s="2" t="s">
        <v>58</v>
      </c>
      <c r="H8" s="2" t="s">
        <v>59</v>
      </c>
      <c r="I8" s="2" t="s">
        <v>60</v>
      </c>
      <c r="J8" s="2" t="s">
        <v>61</v>
      </c>
      <c r="K8" s="2" t="s">
        <v>62</v>
      </c>
      <c r="L8" s="2" t="s">
        <v>63</v>
      </c>
      <c r="M8" s="2" t="s">
        <v>64</v>
      </c>
      <c r="N8" s="2" t="s">
        <v>65</v>
      </c>
      <c r="O8" s="2" t="s">
        <v>66</v>
      </c>
      <c r="P8" s="2" t="s">
        <v>67</v>
      </c>
      <c r="Q8" s="2" t="s">
        <v>194</v>
      </c>
      <c r="R8" s="2" t="s">
        <v>195</v>
      </c>
      <c r="S8" s="2" t="s">
        <v>196</v>
      </c>
      <c r="T8" s="2" t="s">
        <v>197</v>
      </c>
      <c r="U8" s="2" t="s">
        <v>198</v>
      </c>
      <c r="V8" s="2" t="s">
        <v>199</v>
      </c>
      <c r="W8" s="2" t="s">
        <v>200</v>
      </c>
      <c r="X8" s="2" t="s">
        <v>201</v>
      </c>
      <c r="Y8" s="2" t="s">
        <v>202</v>
      </c>
      <c r="Z8" s="2" t="s">
        <v>203</v>
      </c>
      <c r="AA8" s="2" t="s">
        <v>204</v>
      </c>
      <c r="AB8" s="2" t="s">
        <v>205</v>
      </c>
      <c r="AC8" s="2" t="s">
        <v>206</v>
      </c>
      <c r="AD8" s="2" t="s">
        <v>207</v>
      </c>
      <c r="AE8" s="2" t="s">
        <v>208</v>
      </c>
      <c r="AF8" s="2" t="s">
        <v>209</v>
      </c>
      <c r="AG8" s="2" t="s">
        <v>210</v>
      </c>
      <c r="AH8" s="2" t="s">
        <v>211</v>
      </c>
      <c r="AI8" s="2" t="s">
        <v>212</v>
      </c>
      <c r="AJ8" s="2" t="s">
        <v>213</v>
      </c>
    </row>
    <row r="9">
      <c r="C9" s="41" t="s">
        <v>33</v>
      </c>
      <c r="D9" s="2" t="s">
        <v>33</v>
      </c>
      <c r="E9" s="45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  <c r="AB9" s="50"/>
      <c r="AC9" s="50"/>
      <c r="AD9" s="50"/>
      <c r="AE9" s="50"/>
      <c r="AF9" s="50"/>
      <c r="AG9" s="50"/>
      <c r="AH9" s="50"/>
      <c r="AI9" s="50"/>
      <c r="AJ9" s="50"/>
    </row>
    <row r="10">
      <c r="C10" s="42" t="s">
        <v>222</v>
      </c>
      <c r="D10" s="2" t="s">
        <v>56</v>
      </c>
      <c r="E10" s="56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</row>
    <row r="11">
      <c r="C11" s="43" t="s">
        <v>174</v>
      </c>
      <c r="D11" s="2" t="s">
        <v>57</v>
      </c>
      <c r="E11" s="56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</row>
  </sheetData>
  <sheetProtection password="0000" sheet="true" scenarios="true" objects="true" formatColumns="false" formatRows="false"/>
  <protectedRanges>
    <protectedRange name="unlocked_Sheet6_Table0" sqref="E10:AJ11"/>
  </protectedRanges>
  <mergeCells>
    <mergeCell ref="E6:E7"/>
    <mergeCell ref="F6:F7"/>
    <mergeCell ref="G6:G7"/>
    <mergeCell ref="H6:H7"/>
    <mergeCell ref="I6:I7"/>
    <mergeCell ref="E5:I5"/>
    <mergeCell ref="J6:Q6"/>
    <mergeCell ref="R6:U6"/>
    <mergeCell ref="V6:Y6"/>
    <mergeCell ref="Z6:AC6"/>
    <mergeCell ref="AD6:AJ6"/>
    <mergeCell ref="J5:AJ5"/>
    <mergeCell ref="E4:AJ4"/>
    <mergeCell ref="B2:C2"/>
    <mergeCell ref="C1:H1"/>
  </mergeCells>
  <dataValidations count="1">
    <dataValidation type="whole" operator="notEqual" sqref="E10:AJ11" allowBlank="true" errorStyle="stop" showErrorMessage="true" errorTitle="Invalid Value" error="This cell must contain a whole number.">
      <formula1>FALSE</formula1>
      <formula2>FALSE</formula2>
    </dataValidation>
  </dataValidations>
  <pageMargins bottom="0.75" footer="0.3" header="0.3" left="0.7" right="0.7" top="0.75"/>
  <pageSetup orientation="landscape" fitToWidth="1" fitToHeight="0"/>
  <ignoredErrors>
    <ignoredError sqref="E8" numberStoredAsText="true"/>
    <ignoredError sqref="F8" numberStoredAsText="true"/>
    <ignoredError sqref="G8" numberStoredAsText="true"/>
    <ignoredError sqref="H8" numberStoredAsText="true"/>
    <ignoredError sqref="I8" numberStoredAsText="true"/>
    <ignoredError sqref="J8" numberStoredAsText="true"/>
    <ignoredError sqref="K8" numberStoredAsText="true"/>
    <ignoredError sqref="L8" numberStoredAsText="true"/>
    <ignoredError sqref="M8" numberStoredAsText="true"/>
    <ignoredError sqref="N8" numberStoredAsText="true"/>
    <ignoredError sqref="O8" numberStoredAsText="true"/>
    <ignoredError sqref="P8" numberStoredAsText="true"/>
    <ignoredError sqref="Q8" numberStoredAsText="true"/>
    <ignoredError sqref="R8" numberStoredAsText="true"/>
    <ignoredError sqref="S8" numberStoredAsText="true"/>
    <ignoredError sqref="T8" numberStoredAsText="true"/>
    <ignoredError sqref="U8" numberStoredAsText="true"/>
    <ignoredError sqref="V8" numberStoredAsText="true"/>
    <ignoredError sqref="W8" numberStoredAsText="true"/>
    <ignoredError sqref="X8" numberStoredAsText="true"/>
    <ignoredError sqref="Y8" numberStoredAsText="true"/>
    <ignoredError sqref="Z8" numberStoredAsText="true"/>
    <ignoredError sqref="AA8" numberStoredAsText="true"/>
    <ignoredError sqref="AB8" numberStoredAsText="true"/>
    <ignoredError sqref="AC8" numberStoredAsText="true"/>
    <ignoredError sqref="AD8" numberStoredAsText="true"/>
    <ignoredError sqref="AE8" numberStoredAsText="true"/>
    <ignoredError sqref="AF8" numberStoredAsText="true"/>
    <ignoredError sqref="AG8" numberStoredAsText="true"/>
    <ignoredError sqref="AH8" numberStoredAsText="true"/>
    <ignoredError sqref="AI8" numberStoredAsText="true"/>
    <ignoredError sqref="AJ8" numberStoredAsText="true"/>
    <ignoredError sqref="D10" numberStoredAsText="true"/>
    <ignoredError sqref="D11" numberStoredAsText="true"/>
  </ignoredErrors>
</worksheet>
</file>

<file path=xl/worksheets/sheet8.xml><?xml version="1.0" encoding="utf-8"?>
<worksheet xmlns="http://schemas.openxmlformats.org/spreadsheetml/2006/main">
  <sheetPr>
    <pageSetUpPr fitToPage="true"/>
  </sheetPr>
  <dimension ref="B1:I9"/>
  <sheetViews>
    <sheetView workbookViewId="0" showGridLines="false" rightToLeft="true"/>
  </sheetViews>
  <sheetFormatPr defaultRowHeight="15.0"/>
  <cols>
    <col min="5" max="5" width="20.0" customWidth="true"/>
    <col min="6" max="6" width="20.0" customWidth="true"/>
    <col min="7" max="7" width="40.0" customWidth="true"/>
    <col min="8" max="8" width="40.0" customWidth="true"/>
    <col min="3" max="3" width="80.0" customWidth="true"/>
    <col min="4" max="4" width="12.0" customWidth="true"/>
  </cols>
  <sheetData>
    <row r="1">
      <c r="B1" t="s" s="29">
        <v>16</v>
      </c>
      <c r="C1" t="s" s="28">
        <v>68</v>
      </c>
    </row>
    <row r="2">
      <c r="B2" t="s" s="12">
        <v>225</v>
      </c>
    </row>
    <row r="4">
      <c r="E4" s="3" t="s">
        <v>33</v>
      </c>
      <c r="F4" s="3"/>
      <c r="G4" s="3"/>
      <c r="H4" s="3"/>
    </row>
    <row r="5">
      <c r="E5" s="3" t="s">
        <v>171</v>
      </c>
      <c r="F5" s="3"/>
      <c r="G5" s="3"/>
      <c r="H5" s="3"/>
    </row>
    <row r="6">
      <c r="E6" s="40" t="s">
        <v>163</v>
      </c>
      <c r="F6" s="40" t="s">
        <v>165</v>
      </c>
      <c r="G6" s="40" t="s">
        <v>167</v>
      </c>
      <c r="H6" s="40" t="s">
        <v>169</v>
      </c>
    </row>
    <row r="7">
      <c r="C7" s="2" t="s">
        <v>228</v>
      </c>
      <c r="E7" s="2" t="s">
        <v>56</v>
      </c>
      <c r="F7" s="2" t="s">
        <v>57</v>
      </c>
      <c r="G7" s="2" t="s">
        <v>58</v>
      </c>
      <c r="H7" s="2" t="s">
        <v>59</v>
      </c>
    </row>
    <row r="8">
      <c r="C8" s="41" t="s">
        <v>33</v>
      </c>
      <c r="D8" s="2" t="s">
        <v>33</v>
      </c>
      <c r="E8" s="45"/>
      <c r="F8" s="50"/>
      <c r="G8" s="50"/>
      <c r="H8" s="50"/>
    </row>
    <row r="9">
      <c r="C9" s="42" t="s">
        <v>222</v>
      </c>
      <c r="D9" s="2" t="s">
        <v>56</v>
      </c>
      <c r="E9" s="56"/>
      <c r="F9" s="55"/>
      <c r="G9" s="55"/>
      <c r="H9" s="55"/>
    </row>
  </sheetData>
  <sheetProtection password="0000" sheet="true" scenarios="true" objects="true" formatColumns="false" formatRows="false"/>
  <protectedRanges>
    <protectedRange name="unlocked_Sheet7_Table0" sqref="E9:H9"/>
  </protectedRanges>
  <mergeCells>
    <mergeCell ref="E5:H5"/>
    <mergeCell ref="E4:H4"/>
    <mergeCell ref="B2:C2"/>
    <mergeCell ref="C1:G1"/>
  </mergeCells>
  <dataValidations count="1">
    <dataValidation type="whole" operator="notEqual" sqref="E9:H9" allowBlank="true" errorStyle="stop" showErrorMessage="true" errorTitle="Invalid Value" error="This cell must contain a whole number.">
      <formula1>FALSE</formula1>
      <formula2>FALSE</formula2>
    </dataValidation>
  </dataValidations>
  <pageMargins bottom="0.75" footer="0.3" header="0.3" left="0.7" right="0.7" top="0.75"/>
  <pageSetup orientation="landscape" fitToWidth="1" fitToHeight="0"/>
  <ignoredErrors>
    <ignoredError sqref="E7" numberStoredAsText="true"/>
    <ignoredError sqref="F7" numberStoredAsText="true"/>
    <ignoredError sqref="G7" numberStoredAsText="true"/>
    <ignoredError sqref="H7" numberStoredAsText="true"/>
    <ignoredError sqref="D9" numberStoredAsText="true"/>
  </ignoredErrors>
</worksheet>
</file>

<file path=xl/worksheets/sheet9.xml><?xml version="1.0" encoding="utf-8"?>
<worksheet xmlns="http://schemas.openxmlformats.org/spreadsheetml/2006/main">
  <sheetPr>
    <pageSetUpPr fitToPage="true"/>
  </sheetPr>
  <dimension ref="B1:J67"/>
  <sheetViews>
    <sheetView workbookViewId="0" showGridLines="false" rightToLeft="true"/>
  </sheetViews>
  <sheetFormatPr defaultRowHeight="15.0"/>
  <cols>
    <col min="4" max="4" width="12.0" customWidth="true"/>
    <col min="5" max="5" width="12.0" customWidth="true"/>
    <col min="3" max="3" width="80.0" customWidth="true"/>
  </cols>
  <sheetData>
    <row r="1">
      <c r="B1" t="s" s="29">
        <v>16</v>
      </c>
      <c r="C1" t="s" s="28">
        <v>68</v>
      </c>
    </row>
    <row r="2">
      <c r="B2" t="s" s="12">
        <v>229</v>
      </c>
    </row>
    <row r="4">
      <c r="D4" s="2" t="s">
        <v>191</v>
      </c>
      <c r="E4" s="2"/>
      <c r="F4" s="2"/>
      <c r="G4" s="2"/>
      <c r="H4" s="2"/>
      <c r="I4" s="2"/>
    </row>
    <row r="7">
      <c r="E7" s="3" t="s">
        <v>33</v>
      </c>
    </row>
    <row r="8">
      <c r="E8" s="40" t="s">
        <v>72</v>
      </c>
    </row>
    <row r="9">
      <c r="C9" s="2" t="s">
        <v>329</v>
      </c>
      <c r="E9" s="2" t="s">
        <v>56</v>
      </c>
    </row>
    <row r="10">
      <c r="C10" s="41" t="s">
        <v>33</v>
      </c>
      <c r="D10" s="2" t="s">
        <v>33</v>
      </c>
      <c r="E10" s="45"/>
    </row>
    <row r="11">
      <c r="C11" s="42" t="s">
        <v>233</v>
      </c>
      <c r="D11" s="2" t="s">
        <v>56</v>
      </c>
      <c r="E11" s="56"/>
    </row>
    <row r="12">
      <c r="C12" s="42" t="s">
        <v>81</v>
      </c>
      <c r="D12" s="2" t="s">
        <v>33</v>
      </c>
      <c r="E12" s="44"/>
    </row>
    <row r="13">
      <c r="C13" s="43" t="s">
        <v>304</v>
      </c>
      <c r="D13" s="2" t="s">
        <v>33</v>
      </c>
      <c r="E13" s="44"/>
    </row>
    <row r="14">
      <c r="C14" s="54" t="s">
        <v>234</v>
      </c>
      <c r="D14" s="2" t="s">
        <v>57</v>
      </c>
      <c r="E14" s="56"/>
    </row>
    <row r="15">
      <c r="C15" s="54" t="s">
        <v>237</v>
      </c>
      <c r="D15" s="2" t="s">
        <v>58</v>
      </c>
      <c r="E15" s="56"/>
    </row>
    <row r="16">
      <c r="C16" s="54" t="s">
        <v>239</v>
      </c>
      <c r="D16" s="2" t="s">
        <v>59</v>
      </c>
      <c r="E16" s="56"/>
    </row>
    <row r="17">
      <c r="C17" s="54" t="s">
        <v>241</v>
      </c>
      <c r="D17" s="2" t="s">
        <v>60</v>
      </c>
      <c r="E17" s="56"/>
    </row>
    <row r="18">
      <c r="C18" s="54" t="s">
        <v>243</v>
      </c>
      <c r="D18" s="2" t="s">
        <v>61</v>
      </c>
      <c r="E18" s="56"/>
    </row>
    <row r="19">
      <c r="C19" s="54" t="s">
        <v>245</v>
      </c>
      <c r="D19" s="2" t="s">
        <v>62</v>
      </c>
      <c r="E19" s="56"/>
    </row>
    <row r="20">
      <c r="C20" s="54" t="s">
        <v>247</v>
      </c>
      <c r="D20" s="2" t="s">
        <v>63</v>
      </c>
      <c r="E20" s="56"/>
    </row>
    <row r="21">
      <c r="C21" s="54" t="s">
        <v>249</v>
      </c>
      <c r="D21" s="2" t="s">
        <v>64</v>
      </c>
      <c r="E21" s="56"/>
    </row>
    <row r="22">
      <c r="C22" s="54" t="s">
        <v>251</v>
      </c>
      <c r="D22" s="2" t="s">
        <v>65</v>
      </c>
      <c r="E22" s="56"/>
    </row>
    <row r="23">
      <c r="C23" s="54" t="s">
        <v>253</v>
      </c>
      <c r="D23" s="2" t="s">
        <v>66</v>
      </c>
      <c r="E23" s="56"/>
    </row>
    <row r="24">
      <c r="C24" s="54" t="s">
        <v>255</v>
      </c>
      <c r="D24" s="2" t="s">
        <v>67</v>
      </c>
      <c r="E24" s="56"/>
    </row>
    <row r="25">
      <c r="C25" s="54" t="s">
        <v>257</v>
      </c>
      <c r="D25" s="2" t="s">
        <v>194</v>
      </c>
      <c r="E25" s="56"/>
    </row>
    <row r="26">
      <c r="C26" s="54" t="s">
        <v>259</v>
      </c>
      <c r="D26" s="2" t="s">
        <v>195</v>
      </c>
      <c r="E26" s="56"/>
    </row>
    <row r="27">
      <c r="C27" s="54" t="s">
        <v>81</v>
      </c>
      <c r="D27" s="2" t="s">
        <v>33</v>
      </c>
      <c r="E27" s="44"/>
    </row>
    <row r="28">
      <c r="C28" s="58" t="s">
        <v>261</v>
      </c>
      <c r="D28" s="2" t="s">
        <v>196</v>
      </c>
      <c r="E28" s="56"/>
    </row>
    <row r="29">
      <c r="C29" s="58" t="s">
        <v>263</v>
      </c>
      <c r="D29" s="2" t="s">
        <v>197</v>
      </c>
      <c r="E29" s="56"/>
    </row>
    <row r="30">
      <c r="C30" s="54" t="s">
        <v>265</v>
      </c>
      <c r="D30" s="2" t="s">
        <v>198</v>
      </c>
      <c r="E30" s="56"/>
    </row>
    <row r="31">
      <c r="C31" s="54" t="s">
        <v>267</v>
      </c>
      <c r="D31" s="2" t="s">
        <v>199</v>
      </c>
      <c r="E31" s="56"/>
    </row>
    <row r="32">
      <c r="C32" s="54" t="s">
        <v>269</v>
      </c>
      <c r="D32" s="2" t="s">
        <v>200</v>
      </c>
      <c r="E32" s="56"/>
    </row>
    <row r="33">
      <c r="C33" s="54" t="s">
        <v>81</v>
      </c>
      <c r="D33" s="2" t="s">
        <v>33</v>
      </c>
      <c r="E33" s="44"/>
    </row>
    <row r="34">
      <c r="C34" s="58" t="s">
        <v>261</v>
      </c>
      <c r="D34" s="2" t="s">
        <v>201</v>
      </c>
      <c r="E34" s="56"/>
    </row>
    <row r="35">
      <c r="C35" s="58" t="s">
        <v>272</v>
      </c>
      <c r="D35" s="2" t="s">
        <v>202</v>
      </c>
      <c r="E35" s="56"/>
    </row>
    <row r="36">
      <c r="C36" s="54" t="s">
        <v>274</v>
      </c>
      <c r="D36" s="2" t="s">
        <v>203</v>
      </c>
      <c r="E36" s="56"/>
    </row>
    <row r="37">
      <c r="C37" s="54" t="s">
        <v>276</v>
      </c>
      <c r="D37" s="2" t="s">
        <v>204</v>
      </c>
      <c r="E37" s="56"/>
    </row>
    <row r="38">
      <c r="C38" s="54" t="s">
        <v>278</v>
      </c>
      <c r="D38" s="2" t="s">
        <v>205</v>
      </c>
      <c r="E38" s="56"/>
    </row>
    <row r="39">
      <c r="C39" s="54" t="s">
        <v>280</v>
      </c>
      <c r="D39" s="2" t="s">
        <v>206</v>
      </c>
      <c r="E39" s="56"/>
    </row>
    <row r="40">
      <c r="C40" s="54" t="s">
        <v>282</v>
      </c>
      <c r="D40" s="2" t="s">
        <v>207</v>
      </c>
      <c r="E40" s="56"/>
    </row>
    <row r="41">
      <c r="C41" s="54" t="s">
        <v>284</v>
      </c>
      <c r="D41" s="2" t="s">
        <v>208</v>
      </c>
      <c r="E41" s="56"/>
    </row>
    <row r="42">
      <c r="C42" s="54" t="s">
        <v>81</v>
      </c>
      <c r="D42" s="2" t="s">
        <v>33</v>
      </c>
      <c r="E42" s="44"/>
    </row>
    <row r="43">
      <c r="C43" s="58" t="s">
        <v>261</v>
      </c>
      <c r="D43" s="2" t="s">
        <v>209</v>
      </c>
      <c r="E43" s="56"/>
    </row>
    <row r="44">
      <c r="C44" s="58" t="s">
        <v>272</v>
      </c>
      <c r="D44" s="2" t="s">
        <v>210</v>
      </c>
      <c r="E44" s="56"/>
    </row>
    <row r="45">
      <c r="C45" s="58" t="s">
        <v>288</v>
      </c>
      <c r="D45" s="2" t="s">
        <v>211</v>
      </c>
      <c r="E45" s="56"/>
    </row>
    <row r="46">
      <c r="C46" s="54" t="s">
        <v>290</v>
      </c>
      <c r="D46" s="2" t="s">
        <v>212</v>
      </c>
      <c r="E46" s="56"/>
    </row>
    <row r="47">
      <c r="C47" s="54" t="s">
        <v>81</v>
      </c>
      <c r="D47" s="2" t="s">
        <v>33</v>
      </c>
      <c r="E47" s="44"/>
    </row>
    <row r="48">
      <c r="C48" s="58" t="s">
        <v>261</v>
      </c>
      <c r="D48" s="2" t="s">
        <v>213</v>
      </c>
      <c r="E48" s="56"/>
    </row>
    <row r="49">
      <c r="C49" s="58" t="s">
        <v>272</v>
      </c>
      <c r="D49" s="2" t="s">
        <v>214</v>
      </c>
      <c r="E49" s="56"/>
    </row>
    <row r="50">
      <c r="C50" s="54" t="s">
        <v>294</v>
      </c>
      <c r="D50" s="2" t="s">
        <v>215</v>
      </c>
      <c r="E50" s="56"/>
    </row>
    <row r="51">
      <c r="C51" s="54" t="s">
        <v>296</v>
      </c>
      <c r="D51" s="2" t="s">
        <v>216</v>
      </c>
      <c r="E51" s="56"/>
    </row>
    <row r="52">
      <c r="C52" s="54" t="s">
        <v>298</v>
      </c>
      <c r="D52" s="2" t="s">
        <v>217</v>
      </c>
      <c r="E52" s="56"/>
    </row>
    <row r="53">
      <c r="C53" s="54" t="s">
        <v>300</v>
      </c>
      <c r="D53" s="2" t="s">
        <v>218</v>
      </c>
      <c r="E53" s="56"/>
    </row>
    <row r="54">
      <c r="C54" s="54" t="s">
        <v>302</v>
      </c>
      <c r="D54" s="2" t="s">
        <v>330</v>
      </c>
      <c r="E54" s="56"/>
    </row>
    <row r="55">
      <c r="C55" s="43" t="s">
        <v>311</v>
      </c>
      <c r="D55" s="2" t="s">
        <v>33</v>
      </c>
      <c r="E55" s="44"/>
    </row>
    <row r="56">
      <c r="C56" s="54" t="s">
        <v>305</v>
      </c>
      <c r="D56" s="2" t="s">
        <v>331</v>
      </c>
      <c r="E56" s="56"/>
    </row>
    <row r="57">
      <c r="C57" s="54" t="s">
        <v>307</v>
      </c>
      <c r="D57" s="2" t="s">
        <v>332</v>
      </c>
      <c r="E57" s="56"/>
    </row>
    <row r="58">
      <c r="C58" s="54" t="s">
        <v>309</v>
      </c>
      <c r="D58" s="2" t="s">
        <v>333</v>
      </c>
      <c r="E58" s="56"/>
    </row>
    <row r="59">
      <c r="C59" s="43" t="s">
        <v>326</v>
      </c>
      <c r="D59" s="2" t="s">
        <v>33</v>
      </c>
      <c r="E59" s="44"/>
    </row>
    <row r="60">
      <c r="C60" s="54" t="s">
        <v>312</v>
      </c>
      <c r="D60" s="2" t="s">
        <v>334</v>
      </c>
      <c r="E60" s="56"/>
    </row>
    <row r="61">
      <c r="C61" s="54" t="s">
        <v>314</v>
      </c>
      <c r="D61" s="2" t="s">
        <v>335</v>
      </c>
      <c r="E61" s="56"/>
    </row>
    <row r="62">
      <c r="C62" s="54" t="s">
        <v>316</v>
      </c>
      <c r="D62" s="2" t="s">
        <v>336</v>
      </c>
      <c r="E62" s="56"/>
    </row>
    <row r="63">
      <c r="C63" s="54" t="s">
        <v>318</v>
      </c>
      <c r="D63" s="2" t="s">
        <v>337</v>
      </c>
      <c r="E63" s="56"/>
    </row>
    <row r="64">
      <c r="C64" s="54" t="s">
        <v>320</v>
      </c>
      <c r="D64" s="2" t="s">
        <v>338</v>
      </c>
      <c r="E64" s="56"/>
    </row>
    <row r="65">
      <c r="C65" s="54" t="s">
        <v>322</v>
      </c>
      <c r="D65" s="2" t="s">
        <v>339</v>
      </c>
      <c r="E65" s="56"/>
    </row>
    <row r="66">
      <c r="C66" s="54" t="s">
        <v>324</v>
      </c>
      <c r="D66" s="2" t="s">
        <v>340</v>
      </c>
      <c r="E66" s="56"/>
    </row>
    <row r="67">
      <c r="C67" s="43" t="s">
        <v>327</v>
      </c>
      <c r="D67" s="2" t="s">
        <v>341</v>
      </c>
      <c r="E67" s="56"/>
    </row>
  </sheetData>
  <sheetProtection password="0000" sheet="true" scenarios="true" objects="true" formatColumns="false" formatRows="false"/>
  <protectedRanges>
    <protectedRange name="unlocked_Sheet8_Table0" sqref="E11 E14:E26 E28:E32 E34:E41 E43:E46 E48:E54 E56:E58 E60:E67"/>
  </protectedRanges>
  <mergeCells>
    <mergeCell ref="B2:C2"/>
    <mergeCell ref="D4:I4"/>
    <mergeCell ref="C1:K1"/>
  </mergeCells>
  <dataValidations count="1">
    <dataValidation type="whole" operator="notEqual" sqref="E11 E14:E26 E28:E32 E34:E41 E43:E46 E48:E54 E56:E58 E60:E67" allowBlank="true" errorStyle="stop" showErrorMessage="true" errorTitle="Invalid Value" error="This cell must contain a whole number.">
      <formula1>FALSE</formula1>
      <formula2>FALSE</formula2>
    </dataValidation>
  </dataValidations>
  <pageMargins bottom="0.75" footer="0.3" header="0.3" left="0.7" right="0.7" top="0.75"/>
  <pageSetup orientation="landscape" fitToWidth="1" fitToHeight="0"/>
  <ignoredErrors>
    <ignoredError sqref="C28" numberStoredAsText="true"/>
    <ignoredError sqref="C29" numberStoredAsText="true"/>
    <ignoredError sqref="C34" numberStoredAsText="true"/>
    <ignoredError sqref="C35" numberStoredAsText="true"/>
    <ignoredError sqref="C43" numberStoredAsText="true"/>
    <ignoredError sqref="C44" numberStoredAsText="true"/>
    <ignoredError sqref="C45" numberStoredAsText="true"/>
    <ignoredError sqref="C48" numberStoredAsText="true"/>
    <ignoredError sqref="C49" numberStoredAsText="true"/>
    <ignoredError sqref="E9" numberStoredAsText="true"/>
    <ignoredError sqref="D11" numberStoredAsText="true"/>
    <ignoredError sqref="D14" numberStoredAsText="true"/>
    <ignoredError sqref="D15" numberStoredAsText="true"/>
    <ignoredError sqref="D16" numberStoredAsText="true"/>
    <ignoredError sqref="D17" numberStoredAsText="true"/>
    <ignoredError sqref="D18" numberStoredAsText="true"/>
    <ignoredError sqref="D19" numberStoredAsText="true"/>
    <ignoredError sqref="D20" numberStoredAsText="true"/>
    <ignoredError sqref="D21" numberStoredAsText="true"/>
    <ignoredError sqref="D22" numberStoredAsText="true"/>
    <ignoredError sqref="D23" numberStoredAsText="true"/>
    <ignoredError sqref="D24" numberStoredAsText="true"/>
    <ignoredError sqref="D25" numberStoredAsText="true"/>
    <ignoredError sqref="D26" numberStoredAsText="true"/>
    <ignoredError sqref="D28" numberStoredAsText="true"/>
    <ignoredError sqref="D29" numberStoredAsText="true"/>
    <ignoredError sqref="D30" numberStoredAsText="true"/>
    <ignoredError sqref="D31" numberStoredAsText="true"/>
    <ignoredError sqref="D32" numberStoredAsText="true"/>
    <ignoredError sqref="D34" numberStoredAsText="true"/>
    <ignoredError sqref="D35" numberStoredAsText="true"/>
    <ignoredError sqref="D36" numberStoredAsText="true"/>
    <ignoredError sqref="D37" numberStoredAsText="true"/>
    <ignoredError sqref="D38" numberStoredAsText="true"/>
    <ignoredError sqref="D39" numberStoredAsText="true"/>
    <ignoredError sqref="D40" numberStoredAsText="true"/>
    <ignoredError sqref="D41" numberStoredAsText="true"/>
    <ignoredError sqref="D43" numberStoredAsText="true"/>
    <ignoredError sqref="D44" numberStoredAsText="true"/>
    <ignoredError sqref="D45" numberStoredAsText="true"/>
    <ignoredError sqref="D46" numberStoredAsText="true"/>
    <ignoredError sqref="D48" numberStoredAsText="true"/>
    <ignoredError sqref="D49" numberStoredAsText="true"/>
    <ignoredError sqref="D50" numberStoredAsText="true"/>
    <ignoredError sqref="D51" numberStoredAsText="true"/>
    <ignoredError sqref="D52" numberStoredAsText="true"/>
    <ignoredError sqref="D53" numberStoredAsText="true"/>
    <ignoredError sqref="D54" numberStoredAsText="true"/>
    <ignoredError sqref="D56" numberStoredAsText="true"/>
    <ignoredError sqref="D57" numberStoredAsText="true"/>
    <ignoredError sqref="D58" numberStoredAsText="true"/>
    <ignoredError sqref="D60" numberStoredAsText="true"/>
    <ignoredError sqref="D61" numberStoredAsText="true"/>
    <ignoredError sqref="D62" numberStoredAsText="true"/>
    <ignoredError sqref="D63" numberStoredAsText="true"/>
    <ignoredError sqref="D64" numberStoredAsText="true"/>
    <ignoredError sqref="D65" numberStoredAsText="true"/>
    <ignoredError sqref="D66" numberStoredAsText="true"/>
    <ignoredError sqref="D67" numberStoredAsText="true"/>
  </ignoredErrors>
</worksheet>
</file>

<file path=xl/worksheets/sheet10.xml><?xml version="1.0" encoding="utf-8"?>
<worksheet xmlns="http://schemas.openxmlformats.org/spreadsheetml/2006/main">
  <sheetPr>
    <pageSetUpPr fitToPage="true"/>
  </sheetPr>
  <dimension ref="B1:S8"/>
  <sheetViews>
    <sheetView workbookViewId="0" showGridLines="false" rightToLeft="true"/>
  </sheetViews>
  <sheetFormatPr defaultRowHeight="15.0"/>
  <cols>
    <col min="4" max="4" width="12.0" customWidth="true"/>
    <col min="5" max="5" width="12.0" customWidth="true"/>
    <col min="6" max="6" width="12.0" customWidth="true"/>
    <col min="7" max="7" width="12.0" customWidth="true"/>
    <col min="8" max="8" width="20.0" customWidth="true"/>
    <col min="9" max="9" width="12.0" customWidth="true"/>
    <col min="10" max="10" width="20.0" customWidth="true"/>
    <col min="11" max="11" width="12.0" customWidth="true"/>
    <col min="12" max="12" width="20.0" customWidth="true"/>
    <col min="13" max="13" width="20.0" customWidth="true"/>
    <col min="14" max="14" width="20.0" customWidth="true"/>
    <col min="15" max="15" width="40.0" customWidth="true"/>
    <col min="16" max="16" width="12.0" customWidth="true"/>
    <col min="17" max="17" width="20.0" customWidth="true"/>
    <col min="18" max="18" width="12.0" customWidth="true"/>
    <col min="3" max="3" width="12.0" customWidth="true"/>
    <col min="2" max="2" width="14.0" customWidth="true"/>
  </cols>
  <sheetData>
    <row r="1">
      <c r="B1" t="s" s="29">
        <v>16</v>
      </c>
      <c r="C1" t="s" s="28">
        <v>68</v>
      </c>
    </row>
    <row r="2">
      <c r="B2" t="s" s="12">
        <v>342</v>
      </c>
    </row>
    <row r="4">
      <c r="D4" s="3" t="s">
        <v>33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ht="30.0" customHeight="true">
      <c r="D5" s="3" t="s">
        <v>353</v>
      </c>
      <c r="E5" s="3"/>
      <c r="F5" s="3"/>
      <c r="G5" s="3"/>
      <c r="H5" s="3" t="s">
        <v>358</v>
      </c>
      <c r="I5" s="3"/>
      <c r="J5" s="3" t="s">
        <v>361</v>
      </c>
      <c r="K5" s="3"/>
      <c r="L5" s="3" t="s">
        <v>362</v>
      </c>
      <c r="M5" s="3" t="s">
        <v>371</v>
      </c>
      <c r="N5" s="3"/>
      <c r="O5" s="3"/>
      <c r="P5" s="3"/>
      <c r="Q5" s="3" t="s">
        <v>372</v>
      </c>
      <c r="R5" s="3" t="s">
        <v>374</v>
      </c>
    </row>
    <row r="6">
      <c r="D6" s="40" t="s">
        <v>345</v>
      </c>
      <c r="E6" s="40" t="s">
        <v>347</v>
      </c>
      <c r="F6" s="40" t="s">
        <v>349</v>
      </c>
      <c r="G6" s="40" t="s">
        <v>351</v>
      </c>
      <c r="H6" s="40" t="s">
        <v>354</v>
      </c>
      <c r="I6" s="40" t="s">
        <v>356</v>
      </c>
      <c r="J6" s="40" t="s">
        <v>354</v>
      </c>
      <c r="K6" s="40" t="s">
        <v>356</v>
      </c>
      <c r="L6" s="49"/>
      <c r="M6" s="40" t="s">
        <v>364</v>
      </c>
      <c r="N6" s="40" t="s">
        <v>366</v>
      </c>
      <c r="O6" s="40" t="s">
        <v>368</v>
      </c>
      <c r="P6" s="40" t="s">
        <v>327</v>
      </c>
      <c r="Q6" s="49"/>
      <c r="R6" s="49"/>
    </row>
    <row r="7">
      <c r="C7" s="2" t="s">
        <v>379</v>
      </c>
      <c r="D7" s="2" t="s">
        <v>56</v>
      </c>
      <c r="E7" s="2" t="s">
        <v>57</v>
      </c>
      <c r="F7" s="2" t="s">
        <v>58</v>
      </c>
      <c r="G7" s="2" t="s">
        <v>59</v>
      </c>
      <c r="H7" s="2" t="s">
        <v>60</v>
      </c>
      <c r="I7" s="2" t="s">
        <v>61</v>
      </c>
      <c r="J7" s="2" t="s">
        <v>62</v>
      </c>
      <c r="K7" s="2" t="s">
        <v>63</v>
      </c>
      <c r="L7" s="2" t="s">
        <v>64</v>
      </c>
      <c r="M7" s="2" t="s">
        <v>65</v>
      </c>
      <c r="N7" s="2" t="s">
        <v>66</v>
      </c>
      <c r="O7" s="2" t="s">
        <v>67</v>
      </c>
      <c r="P7" s="2" t="s">
        <v>194</v>
      </c>
      <c r="Q7" s="2" t="s">
        <v>195</v>
      </c>
      <c r="R7" s="2" t="s">
        <v>196</v>
      </c>
    </row>
    <row r="8">
      <c r="B8" t="s" s="29">
        <v>377</v>
      </c>
      <c r="C8" s="59"/>
      <c r="D8" s="60"/>
      <c r="E8" s="61"/>
      <c r="F8" s="61"/>
      <c r="G8" s="62"/>
      <c r="H8" s="64"/>
      <c r="I8" s="66"/>
      <c r="J8" s="64"/>
      <c r="K8" s="66"/>
      <c r="L8" s="61"/>
      <c r="M8" s="62"/>
      <c r="N8" s="62"/>
      <c r="O8" s="62"/>
      <c r="P8" s="61"/>
      <c r="Q8" s="61"/>
      <c r="R8" s="61"/>
    </row>
  </sheetData>
  <sheetProtection password="0000" sheet="true" scenarios="true" objects="true" formatColumns="false" formatRows="false"/>
  <protectedRanges>
    <protectedRange name="unlocked_Sheet9_Table0" sqref="C8:R8"/>
  </protectedRanges>
  <mergeCells>
    <mergeCell ref="D5:G5"/>
    <mergeCell ref="H5:I5"/>
    <mergeCell ref="J5:K5"/>
    <mergeCell ref="L5:L6"/>
    <mergeCell ref="M5:P5"/>
    <mergeCell ref="Q5:Q6"/>
    <mergeCell ref="R5:R6"/>
    <mergeCell ref="D4:R4"/>
    <mergeCell ref="B2:D2"/>
    <mergeCell ref="C1:M1"/>
  </mergeCells>
  <dataValidations count="6">
    <dataValidation type="whole" operator="notEqual" sqref="C8" allowBlank="true" errorStyle="stop" showErrorMessage="true" errorTitle="Invalid Value" error="This cell must contain a whole number.">
      <formula1>FALSE</formula1>
      <formula2>FALSE</formula2>
    </dataValidation>
    <dataValidation type="list" sqref="G8" allowBlank="true" errorStyle="stop" showErrorMessage="true" errorTitle="Invalid Value" error="Please select a value from the drop-down list.">
      <formula1>dropdown_Sheet9_Table0_0</formula1>
    </dataValidation>
    <dataValidation type="custom" sqref="H8 J8" allowBlank="true" errorStyle="stop" showInputMessage="true" promptTitle="" prompt="Enter instant period. Expected format: &quot;yyyy-mm-dd&quot;.">
      <formula1>TRUE</formula1>
    </dataValidation>
    <dataValidation type="list" sqref="M8" allowBlank="true" errorStyle="stop" showErrorMessage="true" errorTitle="Invalid Value" error="Please select a value from the drop-down list.">
      <formula1>dropdown_Sheet9_Table0_1</formula1>
    </dataValidation>
    <dataValidation type="list" sqref="N8" allowBlank="true" errorStyle="stop" showErrorMessage="true" errorTitle="Invalid Value" error="Please select a value from the drop-down list.">
      <formula1>dropdown_Sheet9_Table0_2</formula1>
    </dataValidation>
    <dataValidation type="list" sqref="O8" allowBlank="true" errorStyle="stop" showErrorMessage="true" errorTitle="Invalid Value" error="Please select a value from the drop-down list.">
      <formula1>dropdown_Sheet9_Table0_3</formula1>
    </dataValidation>
  </dataValidations>
  <pageMargins bottom="0.75" footer="0.3" header="0.3" left="0.7" right="0.7" top="0.75"/>
  <pageSetup orientation="landscape" fitToWidth="1" fitToHeight="0"/>
  <ignoredErrors>
    <ignoredError sqref="O6" numberStoredAsText="true"/>
    <ignoredError sqref="D7" numberStoredAsText="true"/>
    <ignoredError sqref="E7" numberStoredAsText="true"/>
    <ignoredError sqref="F7" numberStoredAsText="true"/>
    <ignoredError sqref="G7" numberStoredAsText="true"/>
    <ignoredError sqref="H7" numberStoredAsText="true"/>
    <ignoredError sqref="I7" numberStoredAsText="true"/>
    <ignoredError sqref="J7" numberStoredAsText="true"/>
    <ignoredError sqref="K7" numberStoredAsText="true"/>
    <ignoredError sqref="L7" numberStoredAsText="true"/>
    <ignoredError sqref="M7" numberStoredAsText="true"/>
    <ignoredError sqref="N7" numberStoredAsText="true"/>
    <ignoredError sqref="O7" numberStoredAsText="true"/>
    <ignoredError sqref="P7" numberStoredAsText="true"/>
    <ignoredError sqref="Q7" numberStoredAsText="true"/>
    <ignoredError sqref="R7" numberStoredAsText="true"/>
  </ignoredErrors>
</worksheet>
</file>

<file path=xl/worksheets/sheet11.xml><?xml version="1.0" encoding="utf-8"?>
<worksheet xmlns="http://schemas.openxmlformats.org/spreadsheetml/2006/main">
  <dimension ref="A2:F9"/>
  <sheetViews>
    <sheetView workbookViewId="0" rightToLeft="true"/>
  </sheetViews>
  <sheetFormatPr defaultRowHeight="15.0"/>
  <sheetData>
    <row r="2">
      <c r="A2" t="n">
        <v>0.0</v>
      </c>
      <c r="B2" t="s" s="37">
        <v>380</v>
      </c>
      <c r="C2" t="s" s="37">
        <v>381</v>
      </c>
      <c r="D2" t="s" s="37">
        <v>382</v>
      </c>
      <c r="E2" t="s" s="37">
        <v>383</v>
      </c>
    </row>
    <row r="3">
      <c r="B3" t="s" s="37">
        <v>384</v>
      </c>
      <c r="C3" t="s" s="37">
        <v>385</v>
      </c>
      <c r="D3" t="s" s="37">
        <v>386</v>
      </c>
      <c r="E3" t="s" s="37">
        <v>387</v>
      </c>
    </row>
    <row r="4">
      <c r="A4" t="n">
        <v>1.0</v>
      </c>
      <c r="B4" t="s" s="37">
        <v>388</v>
      </c>
      <c r="C4" t="s" s="37">
        <v>389</v>
      </c>
    </row>
    <row r="5">
      <c r="B5" t="s" s="37">
        <v>390</v>
      </c>
      <c r="C5" t="s" s="37">
        <v>391</v>
      </c>
    </row>
    <row r="6">
      <c r="A6" t="n">
        <v>2.0</v>
      </c>
      <c r="B6" t="s" s="37">
        <v>388</v>
      </c>
      <c r="C6" t="s" s="37">
        <v>389</v>
      </c>
    </row>
    <row r="7">
      <c r="B7" t="s" s="37">
        <v>390</v>
      </c>
      <c r="C7" t="s" s="37">
        <v>391</v>
      </c>
    </row>
    <row r="8">
      <c r="A8" t="n">
        <v>3.0</v>
      </c>
      <c r="B8" t="s" s="37">
        <v>388</v>
      </c>
      <c r="C8" t="s" s="37">
        <v>389</v>
      </c>
    </row>
    <row r="9">
      <c r="B9" t="s" s="37">
        <v>390</v>
      </c>
      <c r="C9" t="s" s="37">
        <v>391</v>
      </c>
    </row>
  </sheetData>
  <sheetProtection password="0000" sheet="true" scenarios="true" objects="true" formatColumns="false" formatRows="false"/>
  <pageMargins bottom="0.75" footer="0.3" header="0.3" left="0.7" right="0.7" top="0.75"/>
</worksheet>
</file>

<file path=xl/worksheets/sheet12.xml><?xml version="1.0" encoding="utf-8"?>
<worksheet xmlns="http://schemas.openxmlformats.org/spreadsheetml/2006/main">
  <dimension ref="A1:G46"/>
  <sheetViews>
    <sheetView workbookViewId="0" rightToLeft="true"/>
  </sheetViews>
  <sheetFormatPr defaultRowHeight="15.0"/>
  <sheetData>
    <row r="1">
      <c r="A1" t="s">
        <v>392</v>
      </c>
      <c r="B1" t="s">
        <v>393</v>
      </c>
      <c r="F1">
        <f>'868-0'!$A$1</f>
      </c>
    </row>
    <row r="2">
      <c r="A2" t="s">
        <v>394</v>
      </c>
      <c r="B2" t="s">
        <v>395</v>
      </c>
      <c r="F2">
        <f>'868-1'!$A$1</f>
      </c>
    </row>
    <row r="3">
      <c r="A3" t="s">
        <v>396</v>
      </c>
      <c r="B3" t="s">
        <v>397</v>
      </c>
      <c r="F3">
        <f>'868-2'!$A$1</f>
      </c>
    </row>
    <row r="4">
      <c r="A4" t="s">
        <v>398</v>
      </c>
      <c r="B4" t="s">
        <v>399</v>
      </c>
      <c r="F4">
        <f>'868-3'!$A$1</f>
      </c>
    </row>
    <row r="5">
      <c r="A5" t="s">
        <v>400</v>
      </c>
      <c r="B5" t="s">
        <v>401</v>
      </c>
      <c r="F5">
        <f>'868-4'!$A$1</f>
      </c>
    </row>
    <row r="6">
      <c r="A6" t="s">
        <v>402</v>
      </c>
      <c r="B6" t="s">
        <v>403</v>
      </c>
      <c r="F6">
        <f>'868-5'!$A$1</f>
      </c>
    </row>
    <row r="7">
      <c r="A7" t="s">
        <v>404</v>
      </c>
      <c r="B7" t="s">
        <v>405</v>
      </c>
      <c r="F7">
        <f>'868-6'!$A$1</f>
      </c>
    </row>
    <row r="8">
      <c r="A8" t="s">
        <v>406</v>
      </c>
      <c r="B8" t="s">
        <v>407</v>
      </c>
    </row>
    <row r="9">
      <c r="A9" t="s">
        <v>408</v>
      </c>
      <c r="B9" t="s">
        <v>409</v>
      </c>
    </row>
    <row r="10">
      <c r="A10" t="s">
        <v>410</v>
      </c>
      <c r="B10" t="s">
        <v>411</v>
      </c>
    </row>
    <row r="11">
      <c r="A11" t="s">
        <v>412</v>
      </c>
      <c r="B11" t="s">
        <v>413</v>
      </c>
    </row>
    <row r="12">
      <c r="A12" t="s">
        <v>414</v>
      </c>
      <c r="B12" t="s">
        <v>415</v>
      </c>
    </row>
    <row r="13">
      <c r="A13" t="s">
        <v>416</v>
      </c>
      <c r="B13" t="s">
        <v>417</v>
      </c>
    </row>
    <row r="14">
      <c r="A14" t="s">
        <v>418</v>
      </c>
      <c r="B14" t="s">
        <v>419</v>
      </c>
    </row>
    <row r="15">
      <c r="A15" t="s">
        <v>420</v>
      </c>
      <c r="B15" t="s">
        <v>421</v>
      </c>
    </row>
    <row r="16">
      <c r="A16" t="s">
        <v>422</v>
      </c>
      <c r="B16" t="s">
        <v>423</v>
      </c>
    </row>
    <row r="17">
      <c r="A17" t="s">
        <v>424</v>
      </c>
      <c r="B17" t="s">
        <v>425</v>
      </c>
    </row>
    <row r="18">
      <c r="A18" t="s">
        <v>426</v>
      </c>
      <c r="B18" t="s">
        <v>427</v>
      </c>
    </row>
    <row r="19">
      <c r="A19" t="s">
        <v>428</v>
      </c>
      <c r="B19" t="s">
        <v>429</v>
      </c>
    </row>
    <row r="20">
      <c r="A20" t="s">
        <v>430</v>
      </c>
      <c r="B20" t="s">
        <v>399</v>
      </c>
    </row>
    <row r="21">
      <c r="A21" t="s">
        <v>431</v>
      </c>
      <c r="B21" t="s">
        <v>432</v>
      </c>
    </row>
    <row r="22">
      <c r="A22" t="s">
        <v>433</v>
      </c>
      <c r="B22" t="s">
        <v>434</v>
      </c>
    </row>
    <row r="23">
      <c r="A23" t="s">
        <v>435</v>
      </c>
      <c r="B23" t="s">
        <v>436</v>
      </c>
    </row>
    <row r="24">
      <c r="A24" t="s">
        <v>437</v>
      </c>
      <c r="B24" t="s">
        <v>438</v>
      </c>
    </row>
    <row r="25">
      <c r="A25" t="s">
        <v>439</v>
      </c>
      <c r="B25" t="s">
        <v>440</v>
      </c>
    </row>
    <row r="26">
      <c r="A26" t="s">
        <v>441</v>
      </c>
      <c r="B26" t="s">
        <v>442</v>
      </c>
    </row>
    <row r="27">
      <c r="A27" t="s">
        <v>443</v>
      </c>
      <c r="B27" t="s">
        <v>444</v>
      </c>
    </row>
    <row r="28">
      <c r="A28" t="s">
        <v>445</v>
      </c>
      <c r="B28" t="s">
        <v>446</v>
      </c>
    </row>
    <row r="29">
      <c r="A29" t="s">
        <v>447</v>
      </c>
      <c r="B29" t="s">
        <v>448</v>
      </c>
    </row>
    <row r="30">
      <c r="A30" t="s">
        <v>449</v>
      </c>
      <c r="B30" t="s">
        <v>450</v>
      </c>
    </row>
    <row r="31">
      <c r="A31" t="s">
        <v>451</v>
      </c>
      <c r="B31" t="s">
        <v>452</v>
      </c>
    </row>
    <row r="32">
      <c r="A32" t="s">
        <v>453</v>
      </c>
      <c r="B32" t="s">
        <v>454</v>
      </c>
    </row>
    <row r="33">
      <c r="A33" t="s">
        <v>455</v>
      </c>
      <c r="B33" t="s">
        <v>456</v>
      </c>
    </row>
    <row r="34">
      <c r="A34" t="s">
        <v>457</v>
      </c>
      <c r="B34" t="s">
        <v>458</v>
      </c>
    </row>
    <row r="35">
      <c r="A35" t="s">
        <v>459</v>
      </c>
      <c r="B35" t="s">
        <v>460</v>
      </c>
    </row>
    <row r="36">
      <c r="A36" t="s">
        <v>461</v>
      </c>
      <c r="B36" t="s">
        <v>460</v>
      </c>
    </row>
    <row r="37">
      <c r="A37" t="s">
        <v>462</v>
      </c>
      <c r="B37" t="s">
        <v>460</v>
      </c>
    </row>
    <row r="38">
      <c r="A38" t="s">
        <v>463</v>
      </c>
      <c r="B38" t="s">
        <v>464</v>
      </c>
    </row>
    <row r="39">
      <c r="A39" t="s">
        <v>465</v>
      </c>
      <c r="B39" t="s">
        <v>464</v>
      </c>
    </row>
    <row r="40">
      <c r="A40" t="s">
        <v>466</v>
      </c>
      <c r="B40" t="s">
        <v>464</v>
      </c>
    </row>
    <row r="41">
      <c r="A41" t="s">
        <v>467</v>
      </c>
      <c r="B41" t="s">
        <v>464</v>
      </c>
    </row>
    <row r="42">
      <c r="A42" t="s">
        <v>468</v>
      </c>
      <c r="B42" t="s">
        <v>464</v>
      </c>
    </row>
    <row r="43">
      <c r="A43" t="s">
        <v>469</v>
      </c>
      <c r="B43" t="s">
        <v>464</v>
      </c>
    </row>
    <row r="44">
      <c r="A44" t="s">
        <v>470</v>
      </c>
      <c r="B44" t="s">
        <v>464</v>
      </c>
    </row>
    <row r="45">
      <c r="A45" t="s">
        <v>471</v>
      </c>
      <c r="B45" t="s">
        <v>464</v>
      </c>
    </row>
    <row r="46">
      <c r="A46" t="s">
        <v>472</v>
      </c>
      <c r="B46" t="s">
        <v>464</v>
      </c>
    </row>
  </sheetData>
  <sheetProtection password="0000" sheet="true" scenarios="true" objects="true" formatColumns="false" formatRows="false"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2025-07-02T14:54:14Z</dcterms:created>
  <dc:creator>True North Forms Connector v1.46.0-ci.master.185929</dc:creator>
</cp:coreProperties>
</file>